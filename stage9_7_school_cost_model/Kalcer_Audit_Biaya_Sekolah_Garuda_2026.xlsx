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be7ad44e0140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AMETER" sheetId="1" r:id="R79e303aea49b4f22"/>
    <x:sheet xmlns:r="http://schemas.openxmlformats.org/officeDocument/2006/relationships" name="ASUMSI" sheetId="2" r:id="Ra7e61eca0c7f4607"/>
    <x:sheet xmlns:r="http://schemas.openxmlformats.org/officeDocument/2006/relationships" name="NILAI EKONOMI" sheetId="3" r:id="R602a1ec19d37412d"/>
    <x:sheet xmlns:r="http://schemas.openxmlformats.org/officeDocument/2006/relationships" name="EKUIVALENSI" sheetId="4" r:id="Rcbe66b53e9254610"/>
    <x:sheet xmlns:r="http://schemas.openxmlformats.org/officeDocument/2006/relationships" name="DASHBOARD" sheetId="5" r:id="R45061860f9f142b6"/>
    <x:sheet xmlns:r="http://schemas.openxmlformats.org/officeDocument/2006/relationships" name="TABANG" sheetId="6" r:id="R85abc6314cf54a0e"/>
    <x:sheet xmlns:r="http://schemas.openxmlformats.org/officeDocument/2006/relationships" name="BENCHMARK" sheetId="7" r:id="R2cab8e6ff23749d5"/>
    <x:sheet xmlns:r="http://schemas.openxmlformats.org/officeDocument/2006/relationships" name="CELAH DATA" sheetId="8" r:id="R0de81fd3e57a43db"/>
    <x:sheet xmlns:r="http://schemas.openxmlformats.org/officeDocument/2006/relationships" name="SUMBER" sheetId="9" r:id="R1ee0ea85727244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;-"/>
    <x:numFmt numFmtId="201" formatCode="0.0%"/>
  </x:numFmts>
  <x:fonts count="7">
    <x:font>
      <x:sz val="11"/>
      <x:name val="Carlito"/>
    </x:font>
    <x:font>
      <x:b/>
      <x:sz val="16"/>
      <x:color rgb="FFFFFFFF"/>
      <x:name val="Carlito"/>
    </x:font>
    <x:font>
      <x:sz val="11"/>
      <x:color rgb="FF182334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804D09"/>
      <x:name val="Carlito"/>
    </x:font>
    <x:font>
      <x:sz val="11"/>
      <x:color rgb="FF008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243B"/>
      </x:patternFill>
    </x:fill>
    <x:fill>
      <x:patternFill patternType="solid">
        <x:fgColor rgb="FFE7F3F5"/>
      </x:patternFill>
    </x:fill>
    <x:fill>
      <x:patternFill patternType="solid">
        <x:fgColor rgb="FF087F8C"/>
      </x:patternFill>
    </x:fill>
    <x:fill>
      <x:patternFill patternType="solid">
        <x:fgColor rgb="FFFFF2D8"/>
      </x:patternFill>
    </x:fill>
    <x:fill>
      <x:patternFill patternType="solid">
        <x:fgColor rgb="FFF1F6F8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6" borderId="0" xfId="0" applyNumberFormat="1" applyFont="1" applyFill="1" applyBorder="1"/>
    <x:xf numFmtId="200" fontId="0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2cfb4d132d4cbb" /><Relationship Type="http://schemas.openxmlformats.org/officeDocument/2006/relationships/theme" Target="/xl/theme/theme1.xml" Id="R070e1288a45d423f" /><Relationship Type="http://schemas.openxmlformats.org/officeDocument/2006/relationships/sharedStrings" Target="/xl/sharedStrings.xml" Id="R204e54da24234253" /><Relationship Type="http://schemas.openxmlformats.org/officeDocument/2006/relationships/worksheet" Target="/xl/worksheets/sheet1.xml" Id="R79e303aea49b4f22" /><Relationship Type="http://schemas.openxmlformats.org/officeDocument/2006/relationships/worksheet" Target="/xl/worksheets/sheet2.xml" Id="Ra7e61eca0c7f4607" /><Relationship Type="http://schemas.openxmlformats.org/officeDocument/2006/relationships/worksheet" Target="/xl/worksheets/sheet3.xml" Id="R602a1ec19d37412d" /><Relationship Type="http://schemas.openxmlformats.org/officeDocument/2006/relationships/worksheet" Target="/xl/worksheets/sheet4.xml" Id="Rcbe66b53e9254610" /><Relationship Type="http://schemas.openxmlformats.org/officeDocument/2006/relationships/worksheet" Target="/xl/worksheets/sheet5.xml" Id="R45061860f9f142b6" /><Relationship Type="http://schemas.openxmlformats.org/officeDocument/2006/relationships/worksheet" Target="/xl/worksheets/sheet6.xml" Id="R85abc6314cf54a0e" /><Relationship Type="http://schemas.openxmlformats.org/officeDocument/2006/relationships/worksheet" Target="/xl/worksheets/sheet7.xml" Id="R2cab8e6ff23749d5" /><Relationship Type="http://schemas.openxmlformats.org/officeDocument/2006/relationships/worksheet" Target="/xl/worksheets/sheet8.xml" Id="R0de81fd3e57a43db" /><Relationship Type="http://schemas.openxmlformats.org/officeDocument/2006/relationships/worksheet" Target="/xl/worksheets/sheet9.xml" Id="R1ee0ea857272445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576acb21cd1490e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stacked"/>
        <c:varyColors val="0"/>
        <c:ser>
          <c:idx val="0"/>
          <c:order val="0"/>
          <c:tx>
            <c:v>CAPEX</c:v>
          </c:tx>
          <c:cat>
            <c:strRef>
              <c:f>'ASUMSI'!$A$6:$A$8</c:f>
              <c:strCache>
                <c:ptCount val="0"/>
              </c:strCache>
            </c:strRef>
          </c:cat>
          <c:val>
            <c:numRef>
              <c:f>'ASUMSI'!$M$6:$M$8</c:f>
              <c:numCache>
                <c:formatCode>General</c:formatCode>
                <c:ptCount val="0"/>
              </c:numCache>
            </c:numRef>
          </c:val>
        </c:ser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76acb21cd1490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fbc54140d0024b7e" /></Relationships>
</file>

<file path=xl/worksheets/sheet1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20" hidden="0" customWidth="1"/>
    <x:col min="3" max="3" width="20" hidden="0" customWidth="1"/>
    <x:col min="4" max="4" width="77" hidden="0" customWidth="1"/>
  </x:cols>
  <x:sheetData>
    <x:row r="1" ht="26" customHeight="1">
      <x:c r="A1" s="4" t="str">
        <x:v>KALCER | PARAMETER MODELLING</x:v>
      </x:c>
      <x:c r="B1" s="4"/>
      <x:c r="C1" s="4"/>
      <x:c r="D1" s="4"/>
      <x:c r="E1" s="4"/>
      <x:c r="F1" s="4"/>
    </x:row>
    <x:row r="2" ht="26" customHeight="1">
      <x:c r="A2" s="4"/>
      <x:c r="B2" s="4"/>
      <x:c r="C2" s="4"/>
      <x:c r="D2" s="4"/>
      <x:c r="E2" s="4"/>
      <x:c r="F2" s="4"/>
    </x:row>
    <x:row r="3" ht="28" customHeight="1">
      <x:c r="A3" s="9" t="str">
        <x:v>Nilai berupa acuan publik dan variabel editable; semua Rp miliar kecuali kurs dan kuota</x:v>
      </x:c>
      <x:c r="B3" s="9"/>
      <x:c r="C3" s="9"/>
      <x:c r="D3" s="9"/>
      <x:c r="E3" s="9"/>
      <x:c r="F3" s="9"/>
    </x:row>
    <x:row r="5" ht="28" customHeight="1">
      <x:c r="A5" s="14" t="str">
        <x:v>PARAMETER</x:v>
      </x:c>
      <x:c r="B5" s="14" t="str">
        <x:v>NILAI</x:v>
      </x:c>
      <x:c r="C5" s="14" t="str">
        <x:v>SATUAN</x:v>
      </x:c>
      <x:c r="D5" s="14" t="str">
        <x:v>RUJUKAN / BATASAN</x:v>
      </x:c>
    </x:row>
    <x:row r="6">
      <x:c r="A6" t="str">
        <x:v>Biaya fisik Sekolah Garuda per lokasi</x:v>
      </x:c>
      <x:c r="B6" s="20" t="n">
        <x:v>200</x:v>
      </x:c>
      <x:c r="C6" t="str">
        <x:v>Rp miliar</x:v>
      </x:c>
      <x:c r="D6" s="22" t="str">
        <x:v>Pernyataan Kemdiktisaintek Feb 2026 · S02/S18</x:v>
      </x:c>
    </x:row>
    <x:row r="7">
      <x:c r="A7" t="str">
        <x:v>Periode 10 tahun</x:v>
      </x:c>
      <x:c r="B7" s="20" t="n">
        <x:v>10</x:v>
      </x:c>
      <x:c r="C7" t="str">
        <x:v>tahun</x:v>
      </x:c>
      <x:c r="D7" s="22" t="str">
        <x:v>Pilihan analitis; nominal konstan</x:v>
      </x:c>
    </x:row>
    <x:row r="8">
      <x:c r="A8" t="str">
        <x:v>Periode 20 tahun</x:v>
      </x:c>
      <x:c r="B8" s="20" t="n">
        <x:v>20</x:v>
      </x:c>
      <x:c r="C8" t="str">
        <x:v>tahun</x:v>
      </x:c>
      <x:c r="D8" s="22" t="str">
        <x:v>Pilihan analitis; nominal konstan</x:v>
      </x:c>
    </x:row>
    <x:row r="9">
      <x:c r="A9" t="str">
        <x:v>Siswa baru / angkatan</x:v>
      </x:c>
      <x:c r="B9" s="20" t="n">
        <x:v>160</x:v>
      </x:c>
      <x:c r="C9" t="str">
        <x:v>siswa</x:v>
      </x:c>
      <x:c r="D9" s="22" t="str">
        <x:v>Portal resmi Sekolah Garuda; S06</x:v>
      </x:c>
    </x:row>
    <x:row r="10">
      <x:c r="A10" t="str">
        <x:v>Angkatan bersamaan saat matang</x:v>
      </x:c>
      <x:c r="B10" s="20" t="n">
        <x:v>3</x:v>
      </x:c>
      <x:c r="C10" t="str">
        <x:v>angkatan</x:v>
      </x:c>
      <x:c r="D10" s="22" t="str">
        <x:v>Asumsi 3 tahun jenjang SMA</x:v>
      </x:c>
    </x:row>
    <x:row r="11">
      <x:c r="A11" t="str">
        <x:v>Kurs SGD/IDR 22 Feb 2023</x:v>
      </x:c>
      <x:c r="B11" s="20" t="n">
        <x:v>11302.2</x:v>
      </x:c>
      <x:c r="C11" t="str">
        <x:v>Rp/SGD</x:v>
      </x:c>
      <x:c r="D11" s="22" t="str">
        <x:v>Historis indikatif, bukan kurs hari ini; S08</x:v>
      </x:c>
    </x:row>
    <x:row r="12">
      <x:c r="A12" t="str">
        <x:v>Kurs SGD/IDR 14 Mar 2025</x:v>
      </x:c>
      <x:c r="B12" s="20" t="n">
        <x:v>12201.7</x:v>
      </x:c>
      <x:c r="C12" t="str">
        <x:v>Rp/SGD</x:v>
      </x:c>
      <x:c r="D12" s="22" t="str">
        <x:v>Historis indikatif dari riset tahap 5; S17</x:v>
      </x:c>
    </x:row>
    <x:row r="13">
      <x:c r="A13" t="str">
        <x:v>Nilai saham hibah BYAN 2024</x:v>
      </x:c>
      <x:c r="B13" s="20" t="n">
        <x:v>101845.3384256</x:v>
      </x:c>
      <x:c r="C13" t="str">
        <x:v>Rp miliar</x:v>
      </x:c>
      <x:c r="D13" s="22" t="str">
        <x:v>Nilai pasar indikatif, bukan likuid; S10/S11</x:v>
      </x:c>
    </x:row>
    <x:row r="14">
      <x:c r="A14" t="str">
        <x:v>Hibah NUS</x:v>
      </x:c>
      <x:c r="B14" s="20" t="n">
        <x:v>101</x:v>
      </x:c>
      <x:c r="C14" t="str">
        <x:v>juta SGD</x:v>
      </x:c>
      <x:c r="D14" s="22" t="str">
        <x:v>Pengumuman donasi diterima; S07</x:v>
      </x:c>
    </x:row>
    <x:row r="15">
      <x:c r="A15" t="str">
        <x:v>Janji hibah NTU</x:v>
      </x:c>
      <x:c r="B15" s="20" t="n">
        <x:v>8</x:v>
      </x:c>
      <x:c r="C15" t="str">
        <x:v>juta SGD</x:v>
      </x:c>
      <x:c r="D15" s="22" t="str">
        <x:v>Belum tentu terealisasi penuh; S09</x:v>
      </x:c>
    </x:row>
    <x:row r="16">
      <x:c r="A16" t="str">
        <x:v>Donasi pribadi universitas Indonesia</x:v>
      </x:c>
      <x:c r="B16" s="20" t="n">
        <x:v>200</x:v>
      </x:c>
      <x:c r="C16" t="str">
        <x:v>Rp miliar</x:v>
      </x:c>
      <x:c r="D16" s="22" t="str">
        <x:v>ITB/UGM/UI, gabungan 2019-2022; S16</x:v>
      </x:c>
    </x:row>
    <x:row r="17">
      <x:c r="A17" t="str">
        <x:v>Pendidikan PPM Bayan 2022-2025</x:v>
      </x:c>
      <x:c r="B17" s="20" t="n">
        <x:v>33.52</x:v>
      </x:c>
      <x:c r="C17" t="str">
        <x:v>Rp miliar</x:v>
      </x:c>
      <x:c r="D17" s="22" t="str">
        <x:v>Empat tahun, seluruh area operasi; S15</x:v>
      </x:c>
    </x:row>
    <x:row r="20" ht="30" customHeight="1">
      <x:c r="A20" s="26" t="str">
        <x:v>PENTING: Rp101,8 triliun adalah nilai saham yang dihibahkan, bukan uang kas/anggaran yang boleh dialihkan. Skenario biaya di sheet ASUMSI adalah ilustrasi, bukan biaya resmi.</x:v>
      </x:c>
      <x:c r="B20" s="26"/>
      <x:c r="C20" s="26"/>
      <x:c r="D20" s="26"/>
    </x:row>
    <x:row r="21" ht="30" customHeight="1">
      <x:c r="A21" s="26"/>
      <x:c r="B21" s="26"/>
      <x:c r="C21" s="26"/>
      <x:c r="D21" s="26"/>
    </x:row>
  </x:sheetData>
  <x:mergeCells>
    <x:mergeCell ref="A1:F2"/>
    <x:mergeCell ref="A3:F3"/>
    <x:mergeCell ref="A20:D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6" hidden="0" customWidth="1"/>
    <x:col min="10" max="10" width="26" hidden="0" customWidth="1"/>
    <x:col min="11" max="11" width="20" hidden="0" customWidth="1"/>
    <x:col min="12" max="12" width="20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</x:cols>
  <x:sheetData>
    <x:row r="1" ht="26" customHeight="1">
      <x:c r="A1" s="4" t="str">
        <x:v>MODEL SEKOLAH 480 SISWA / TAHUN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6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ht="28" customHeight="1">
      <x:c r="A3" s="9" t="str">
        <x:v>Semua asumsi biaya belum diaudit; input biru dapat diedit untuk sensitivitas; 3 angkatan x 160 siswa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</x:row>
    <x:row r="5" ht="28" customHeight="1">
      <x:c r="A5" s="14" t="str">
        <x:v>SKENARIO</x:v>
      </x:c>
      <x:c r="B5" s="14" t="str">
        <x:v>SISWA</x:v>
      </x:c>
      <x:c r="C5" s="14" t="str">
        <x:v>GEDUNG INTI (Rp M)</x:v>
      </x:c>
      <x:c r="D5" s="14" t="str">
        <x:v>ASRAMA (Rp M)</x:v>
      </x:c>
      <x:c r="E5" s="14" t="str">
        <x:v>LAB (Rp M)</x:v>
      </x:c>
      <x:c r="F5" s="14" t="str">
        <x:v>UTILITAS (Rp M)</x:v>
      </x:c>
      <x:c r="G5" s="14" t="str">
        <x:v>CADANGAN %</x:v>
      </x:c>
      <x:c r="H5" s="14" t="str">
        <x:v>STAF/T (Rp M)</x:v>
      </x:c>
      <x:c r="I5" s="14" t="str">
        <x:v>ASRAMA/SISWA (Rp jt/T)</x:v>
      </x:c>
      <x:c r="J5" s="14" t="str">
        <x:v>AKADEMIK/SISWA (Rp jt/T)</x:v>
      </x:c>
      <x:c r="K5" s="14" t="str">
        <x:v>PEMELIHARAAN %</x:v>
      </x:c>
      <x:c r="L5" s="14" t="str">
        <x:v>AKSES/TRANSP (Rp M/T)</x:v>
      </x:c>
      <x:c r="M5" s="14" t="str">
        <x:v>CAPEX (Rp M)</x:v>
      </x:c>
      <x:c r="N5" s="14" t="str">
        <x:v>OPEX/TAHUN (Rp M)</x:v>
      </x:c>
      <x:c r="O5" s="14" t="str">
        <x:v>BIAYA 10 T (Rp M)</x:v>
      </x:c>
      <x:c r="P5" s="14" t="str">
        <x:v>BIAYA 20 T (Rp M)</x:v>
      </x:c>
    </x:row>
    <x:row r="6">
      <x:c r="A6" s="18" t="str">
        <x:v>Hemat</x:v>
      </x:c>
      <x:c r="B6" s="18" t="n">
        <x:v>480</x:v>
      </x:c>
      <x:c r="C6" s="18" t="n">
        <x:v>200</x:v>
      </x:c>
      <x:c r="D6" s="18" t="n">
        <x:v>20</x:v>
      </x:c>
      <x:c r="E6" s="18" t="n">
        <x:v>15</x:v>
      </x:c>
      <x:c r="F6" s="18" t="n">
        <x:v>10</x:v>
      </x:c>
      <x:c r="G6" s="32" t="n">
        <x:v>0.1</x:v>
      </x:c>
      <x:c r="H6" s="18" t="n">
        <x:v>8</x:v>
      </x:c>
      <x:c r="I6" s="18" t="n">
        <x:v>24</x:v>
      </x:c>
      <x:c r="J6" s="18" t="n">
        <x:v>10</x:v>
      </x:c>
      <x:c r="K6" s="32" t="n">
        <x:v>0.015</x:v>
      </x:c>
      <x:c r="L6" s="18" t="n">
        <x:v>2</x:v>
      </x:c>
      <x:c r="M6" s="34" t="n">
        <x:f>SUM(C6:F6)*(1+G6)</x:f>
        <x:v>269.5</x:v>
      </x:c>
      <x:c r="N6" s="34" t="n">
        <x:f>H6+B6*I6/1000+B6*J6/1000+M6*K6+L6</x:f>
        <x:v>30.3625</x:v>
      </x:c>
      <x:c r="O6" s="34" t="n">
        <x:f>M6+PARAMETER!$B$7*N6</x:f>
        <x:v>573.125</x:v>
      </x:c>
      <x:c r="P6" s="34" t="n">
        <x:f>M6+PARAMETER!$B$8*N6</x:f>
        <x:v>876.75</x:v>
      </x:c>
    </x:row>
    <x:row r="7">
      <x:c r="A7" s="18" t="str">
        <x:v>Dasar</x:v>
      </x:c>
      <x:c r="B7" s="18" t="n">
        <x:v>480</x:v>
      </x:c>
      <x:c r="C7" s="18" t="n">
        <x:v>220</x:v>
      </x:c>
      <x:c r="D7" s="18" t="n">
        <x:v>40</x:v>
      </x:c>
      <x:c r="E7" s="18" t="n">
        <x:v>25</x:v>
      </x:c>
      <x:c r="F7" s="18" t="n">
        <x:v>15</x:v>
      </x:c>
      <x:c r="G7" s="32" t="n">
        <x:v>0.1</x:v>
      </x:c>
      <x:c r="H7" s="18" t="n">
        <x:v>12</x:v>
      </x:c>
      <x:c r="I7" s="18" t="n">
        <x:v>36</x:v>
      </x:c>
      <x:c r="J7" s="18" t="n">
        <x:v>15</x:v>
      </x:c>
      <x:c r="K7" s="32" t="n">
        <x:v>0.02</x:v>
      </x:c>
      <x:c r="L7" s="18" t="n">
        <x:v>3</x:v>
      </x:c>
      <x:c r="M7" s="34" t="n">
        <x:f>SUM(C7:F7)*(1+G7)</x:f>
        <x:v>330</x:v>
      </x:c>
      <x:c r="N7" s="34" t="n">
        <x:f>H7+B7*I7/1000+B7*J7/1000+M7*K7+L7</x:f>
        <x:v>46.080000000000005</x:v>
      </x:c>
      <x:c r="O7" s="34" t="n">
        <x:f>M7+PARAMETER!$B$7*N7</x:f>
        <x:v>790.8000000000001</x:v>
      </x:c>
      <x:c r="P7" s="34" t="n">
        <x:f>M7+PARAMETER!$B$8*N7</x:f>
        <x:v>1251.6000000000001</x:v>
      </x:c>
    </x:row>
    <x:row r="8">
      <x:c r="A8" s="18" t="str">
        <x:v>Tinggi</x:v>
      </x:c>
      <x:c r="B8" s="18" t="n">
        <x:v>480</x:v>
      </x:c>
      <x:c r="C8" s="18" t="n">
        <x:v>300</x:v>
      </x:c>
      <x:c r="D8" s="18" t="n">
        <x:v>70</x:v>
      </x:c>
      <x:c r="E8" s="18" t="n">
        <x:v>45</x:v>
      </x:c>
      <x:c r="F8" s="18" t="n">
        <x:v>30</x:v>
      </x:c>
      <x:c r="G8" s="32" t="n">
        <x:v>0.1</x:v>
      </x:c>
      <x:c r="H8" s="18" t="n">
        <x:v>18</x:v>
      </x:c>
      <x:c r="I8" s="18" t="n">
        <x:v>48</x:v>
      </x:c>
      <x:c r="J8" s="18" t="n">
        <x:v>25</x:v>
      </x:c>
      <x:c r="K8" s="32" t="n">
        <x:v>0.03</x:v>
      </x:c>
      <x:c r="L8" s="18" t="n">
        <x:v>5</x:v>
      </x:c>
      <x:c r="M8" s="34" t="n">
        <x:f>SUM(C8:F8)*(1+G8)</x:f>
        <x:v>489.50000000000006</x:v>
      </x:c>
      <x:c r="N8" s="34" t="n">
        <x:f>H8+B8*I8/1000+B8*J8/1000+M8*K8+L8</x:f>
        <x:v>72.725</x:v>
      </x:c>
      <x:c r="O8" s="34" t="n">
        <x:f>M8+PARAMETER!$B$7*N8</x:f>
        <x:v>1216.75</x:v>
      </x:c>
      <x:c r="P8" s="34" t="n">
        <x:f>M8+PARAMETER!$B$8*N8</x:f>
        <x:v>1944</x:v>
      </x:c>
    </x:row>
    <x:row r="11" ht="25" customHeight="1">
      <x:c r="A11" s="26" t="str">
        <x:v>Formulasi: CAPEX=(C+D+E+F)*(1+G). OPEX=H+B*I/1000+B*J/1000+CAPEX*K+L. Sepuluh/dua puluh tahun=CAPEX+jumlah tahun × OPEX. Nilai 480 siswa adalah kondisi kapasitas penuh, bukan tahun pertama.</x:v>
      </x:c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</x:row>
    <x:row r="12" ht="25" customHeight="1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</x:row>
  </x:sheetData>
  <x:mergeCells>
    <x:mergeCell ref="A1:P2"/>
    <x:mergeCell ref="A3:P3"/>
    <x:mergeCell ref="A11:P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0" hidden="0" customWidth="1"/>
    <x:col min="2" max="2" width="22" hidden="0" customWidth="1"/>
    <x:col min="3" max="3" width="35" hidden="0" customWidth="1"/>
    <x:col min="4" max="4" width="17" hidden="0" customWidth="1"/>
    <x:col min="5" max="5" width="90" hidden="0" customWidth="1"/>
  </x:cols>
  <x:sheetData>
    <x:row r="1" ht="26" customHeight="1">
      <x:c r="A1" s="4" t="str">
        <x:v>NILAI EKONOMI UNTUK PERBANDINGAN</x:v>
      </x:c>
      <x:c r="B1" s="4"/>
      <x:c r="C1" s="4"/>
      <x:c r="D1" s="4"/>
      <x:c r="E1" s="4"/>
      <x:c r="F1" s="4"/>
    </x:row>
    <x:row r="2" ht="26" customHeight="1">
      <x:c r="A2" s="4"/>
      <x:c r="B2" s="4"/>
      <x:c r="C2" s="4"/>
      <x:c r="D2" s="4"/>
      <x:c r="E2" s="4"/>
      <x:c r="F2" s="4"/>
    </x:row>
    <x:row r="3" ht="28" customHeight="1">
      <x:c r="A3" s="9" t="str">
        <x:v>Instrumen berbeda: nilai saham, hibah diterima, komitmen, PPM; jangan dijumlahkan otomatis</x:v>
      </x:c>
      <x:c r="B3" s="9"/>
      <x:c r="C3" s="9"/>
      <x:c r="D3" s="9"/>
      <x:c r="E3" s="9"/>
      <x:c r="F3" s="9"/>
    </x:row>
    <x:row r="5" ht="28" customHeight="1">
      <x:c r="A5" s="14" t="str">
        <x:v>INSTRUMEN</x:v>
      </x:c>
      <x:c r="B5" s="14" t="str">
        <x:v>Rp MILIAR (MODEL)</x:v>
      </x:c>
      <x:c r="C5" s="14" t="str">
        <x:v>SIFAT</x:v>
      </x:c>
      <x:c r="D5" s="14" t="str">
        <x:v>SOURCE ID</x:v>
      </x:c>
      <x:c r="E5" s="14" t="str">
        <x:v>KETERBATASAN</x:v>
      </x:c>
    </x:row>
    <x:row r="6">
      <x:c r="A6" t="str">
        <x:v>Hibah saham BYAN 2024</x:v>
      </x:c>
      <x:c r="B6" s="38" t="n">
        <x:f>PARAMETER!B13</x:f>
        <x:v>101845.3384256</x:v>
      </x:c>
      <x:c r="C6" t="str">
        <x:v>Nilai pasar aset, bukan kas</x:v>
      </x:c>
      <x:c r="D6" t="str">
        <x:v>S10/S11</x:v>
      </x:c>
      <x:c r="E6" s="22" t="str">
        <x:v>Tidak dapat digunakan sebagai anggaran tanpa penjualan, pajak, likuiditas, dan dampak harga</x:v>
      </x:c>
    </x:row>
    <x:row r="7">
      <x:c r="A7" t="str">
        <x:v>Hibah NUS (2023)</x:v>
      </x:c>
      <x:c r="B7" s="38" t="n">
        <x:f>PARAMETER!B14*PARAMETER!B11/1000</x:f>
        <x:v>1141.5222</x:v>
      </x:c>
      <x:c r="C7" t="str">
        <x:v>Donasi ke institusi SG</x:v>
      </x:c>
      <x:c r="D7" t="str">
        <x:v>S07/S08</x:v>
      </x:c>
      <x:c r="E7" s="22" t="str">
        <x:v>Konversi SGD historis; penerima beasiswa dari Asia tidak hanya Singapore</x:v>
      </x:c>
    </x:row>
    <x:row r="8">
      <x:c r="A8" t="str">
        <x:v>Janji donasi NTU (2025)</x:v>
      </x:c>
      <x:c r="B8" s="38" t="n">
        <x:f>PARAMETER!B15*PARAMETER!B12/1000</x:f>
        <x:v>97.6136</x:v>
      </x:c>
      <x:c r="C8" t="str">
        <x:v>Komitmen dana ke institusi SG</x:v>
      </x:c>
      <x:c r="D8" t="str">
        <x:v>S09/S17</x:v>
      </x:c>
      <x:c r="E8" s="22" t="str">
        <x:v>Status penyaluran bertahap perlu diverifikasi</x:v>
      </x:c>
    </x:row>
    <x:row r="9">
      <x:c r="A9" t="str">
        <x:v>Donasi Low untuk UI/UGM/ITB</x:v>
      </x:c>
      <x:c r="B9" s="38" t="n">
        <x:f>PARAMETER!B16</x:f>
        <x:v>200</x:v>
      </x:c>
      <x:c r="C9" t="str">
        <x:v>Donasi Indonesia</x:v>
      </x:c>
      <x:c r="D9" t="str">
        <x:v>S16</x:v>
      </x:c>
      <x:c r="E9" s="22" t="str">
        <x:v>Bukan khusus Kalimantan dan bukan untuk konstruksi Garuda</x:v>
      </x:c>
    </x:row>
    <x:row r="10">
      <x:c r="A10" t="str">
        <x:v>Pendidikan PPM Bayan 2022-2025</x:v>
      </x:c>
      <x:c r="B10" s="38" t="n">
        <x:f>PARAMETER!B17</x:f>
        <x:v>33.52</x:v>
      </x:c>
      <x:c r="C10" t="str">
        <x:v>Biaya program perusahaan</x:v>
      </x:c>
      <x:c r="D10" t="str">
        <x:v>S15</x:v>
      </x:c>
      <x:c r="E10" s="22" t="str">
        <x:v>Akumulasi 4 tahun, bukan hanya Tabang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0" hidden="0" customWidth="1"/>
    <x:col min="2" max="2" width="18" hidden="0" customWidth="1"/>
    <x:col min="3" max="3" width="15" hidden="0" customWidth="1"/>
    <x:col min="4" max="4" width="16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6" customHeight="1">
      <x:c r="A1" s="4" t="str">
        <x:v>SEKOLAH EKUIVALEN — FISIK VS 20 TAHUN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6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 ht="28" customHeight="1">
      <x:c r="A3" s="9" t="str">
        <x:v>Model teoretis: perbandingan satu instrumen dan satu skenario, bukan paket program yang benar-benar dibiayai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</x:row>
    <x:row r="5" ht="28" customHeight="1">
      <x:c r="A5" s="14" t="str">
        <x:v>SUMBER NILAI</x:v>
      </x:c>
      <x:c r="B5" s="14" t="str">
        <x:v>Rp MILIAR</x:v>
      </x:c>
      <x:c r="C5" s="14" t="str">
        <x:v>SKENARIO</x:v>
      </x:c>
      <x:c r="D5" s="14" t="str">
        <x:v>FISIK @200M</x:v>
      </x:c>
      <x:c r="E5" s="14" t="str">
        <x:v>CAPEX/SEKOLAH</x:v>
      </x:c>
      <x:c r="F5" s="14" t="str">
        <x:v>OPEX/TAHUN</x:v>
      </x:c>
      <x:c r="G5" s="14" t="str">
        <x:v>TOTAL 10 T</x:v>
      </x:c>
      <x:c r="H5" s="14" t="str">
        <x:v>TOTAL 20 T</x:v>
      </x:c>
      <x:c r="I5" s="14" t="str">
        <x:v>SEKOLAH CAPEX</x:v>
      </x:c>
      <x:c r="J5" s="14" t="str">
        <x:v>SEKOLAH 10 T</x:v>
      </x:c>
      <x:c r="K5" s="14" t="str">
        <x:v>SEKOLAH 20 T</x:v>
      </x:c>
    </x:row>
    <x:row r="6">
      <x:c r="A6" s="36" t="str">
        <x:f>'NILAI EKONOMI'!A6</x:f>
        <x:v>Hibah saham BYAN 2024</x:v>
      </x:c>
      <x:c r="B6" s="38" t="n">
        <x:f>'NILAI EKONOMI'!B6</x:f>
        <x:v>101845.3384256</x:v>
      </x:c>
      <x:c r="C6" s="38" t="str">
        <x:f>ASUMSI!A6</x:f>
        <x:v>Hemat</x:v>
      </x:c>
      <x:c r="D6" s="34" t="n">
        <x:f>ROUNDDOWN(B6/PARAMETER!$B$6,0)</x:f>
        <x:v>509</x:v>
      </x:c>
      <x:c r="E6" s="34" t="n">
        <x:f>ASUMSI!M6</x:f>
        <x:v>269.5</x:v>
      </x:c>
      <x:c r="F6" s="34" t="n">
        <x:f>ASUMSI!N6</x:f>
        <x:v>30.3625</x:v>
      </x:c>
      <x:c r="G6" s="34" t="n">
        <x:f>ASUMSI!O6</x:f>
        <x:v>573.125</x:v>
      </x:c>
      <x:c r="H6" s="34" t="n">
        <x:f>ASUMSI!P6</x:f>
        <x:v>876.75</x:v>
      </x:c>
      <x:c r="I6" s="34" t="n">
        <x:f>ROUNDDOWN(B6/E6,0)</x:f>
        <x:v>377</x:v>
      </x:c>
      <x:c r="J6" s="34" t="n">
        <x:f>ROUNDDOWN(B6/G6,0)</x:f>
        <x:v>177</x:v>
      </x:c>
      <x:c r="K6" s="34" t="n">
        <x:f>ROUNDDOWN(B6/H6,0)</x:f>
        <x:v>116</x:v>
      </x:c>
    </x:row>
    <x:row r="7">
      <x:c r="A7" s="36" t="str">
        <x:f>'NILAI EKONOMI'!A6</x:f>
        <x:v>Hibah saham BYAN 2024</x:v>
      </x:c>
      <x:c r="B7" s="38" t="n">
        <x:f>'NILAI EKONOMI'!B6</x:f>
        <x:v>101845.3384256</x:v>
      </x:c>
      <x:c r="C7" s="38" t="str">
        <x:f>ASUMSI!A7</x:f>
        <x:v>Dasar</x:v>
      </x:c>
      <x:c r="D7" s="34" t="n">
        <x:f>ROUNDDOWN(B7/PARAMETER!$B$6,0)</x:f>
        <x:v>509</x:v>
      </x:c>
      <x:c r="E7" s="34" t="n">
        <x:f>ASUMSI!M7</x:f>
        <x:v>330</x:v>
      </x:c>
      <x:c r="F7" s="34" t="n">
        <x:f>ASUMSI!N7</x:f>
        <x:v>46.080000000000005</x:v>
      </x:c>
      <x:c r="G7" s="34" t="n">
        <x:f>ASUMSI!O7</x:f>
        <x:v>790.8000000000001</x:v>
      </x:c>
      <x:c r="H7" s="34" t="n">
        <x:f>ASUMSI!P7</x:f>
        <x:v>1251.6000000000001</x:v>
      </x:c>
      <x:c r="I7" s="34" t="n">
        <x:f>ROUNDDOWN(B7/E7,0)</x:f>
        <x:v>308</x:v>
      </x:c>
      <x:c r="J7" s="34" t="n">
        <x:f>ROUNDDOWN(B7/G7,0)</x:f>
        <x:v>128</x:v>
      </x:c>
      <x:c r="K7" s="34" t="n">
        <x:f>ROUNDDOWN(B7/H7,0)</x:f>
        <x:v>81</x:v>
      </x:c>
    </x:row>
    <x:row r="8">
      <x:c r="A8" s="36" t="str">
        <x:f>'NILAI EKONOMI'!A6</x:f>
        <x:v>Hibah saham BYAN 2024</x:v>
      </x:c>
      <x:c r="B8" s="38" t="n">
        <x:f>'NILAI EKONOMI'!B6</x:f>
        <x:v>101845.3384256</x:v>
      </x:c>
      <x:c r="C8" s="38" t="str">
        <x:f>ASUMSI!A8</x:f>
        <x:v>Tinggi</x:v>
      </x:c>
      <x:c r="D8" s="34" t="n">
        <x:f>ROUNDDOWN(B8/PARAMETER!$B$6,0)</x:f>
        <x:v>509</x:v>
      </x:c>
      <x:c r="E8" s="34" t="n">
        <x:f>ASUMSI!M8</x:f>
        <x:v>489.50000000000006</x:v>
      </x:c>
      <x:c r="F8" s="34" t="n">
        <x:f>ASUMSI!N8</x:f>
        <x:v>72.725</x:v>
      </x:c>
      <x:c r="G8" s="34" t="n">
        <x:f>ASUMSI!O8</x:f>
        <x:v>1216.75</x:v>
      </x:c>
      <x:c r="H8" s="34" t="n">
        <x:f>ASUMSI!P8</x:f>
        <x:v>1944</x:v>
      </x:c>
      <x:c r="I8" s="34" t="n">
        <x:f>ROUNDDOWN(B8/E8,0)</x:f>
        <x:v>208</x:v>
      </x:c>
      <x:c r="J8" s="34" t="n">
        <x:f>ROUNDDOWN(B8/G8,0)</x:f>
        <x:v>83</x:v>
      </x:c>
      <x:c r="K8" s="34" t="n">
        <x:f>ROUNDDOWN(B8/H8,0)</x:f>
        <x:v>52</x:v>
      </x:c>
    </x:row>
    <x:row r="9">
      <x:c r="A9" s="36" t="str">
        <x:f>'NILAI EKONOMI'!A7</x:f>
        <x:v>Hibah NUS (2023)</x:v>
      </x:c>
      <x:c r="B9" s="38" t="n">
        <x:f>'NILAI EKONOMI'!B7</x:f>
        <x:v>1141.5222</x:v>
      </x:c>
      <x:c r="C9" s="38" t="str">
        <x:f>ASUMSI!A6</x:f>
        <x:v>Hemat</x:v>
      </x:c>
      <x:c r="D9" s="34" t="n">
        <x:f>ROUNDDOWN(B9/PARAMETER!$B$6,0)</x:f>
        <x:v>5</x:v>
      </x:c>
      <x:c r="E9" s="34" t="n">
        <x:f>ASUMSI!M6</x:f>
        <x:v>269.5</x:v>
      </x:c>
      <x:c r="F9" s="34" t="n">
        <x:f>ASUMSI!N6</x:f>
        <x:v>30.3625</x:v>
      </x:c>
      <x:c r="G9" s="34" t="n">
        <x:f>ASUMSI!O6</x:f>
        <x:v>573.125</x:v>
      </x:c>
      <x:c r="H9" s="34" t="n">
        <x:f>ASUMSI!P6</x:f>
        <x:v>876.75</x:v>
      </x:c>
      <x:c r="I9" s="34" t="n">
        <x:f>ROUNDDOWN(B9/E9,0)</x:f>
        <x:v>4</x:v>
      </x:c>
      <x:c r="J9" s="34" t="n">
        <x:f>ROUNDDOWN(B9/G9,0)</x:f>
        <x:v>1</x:v>
      </x:c>
      <x:c r="K9" s="34" t="n">
        <x:f>ROUNDDOWN(B9/H9,0)</x:f>
        <x:v>1</x:v>
      </x:c>
    </x:row>
    <x:row r="10">
      <x:c r="A10" s="36" t="str">
        <x:f>'NILAI EKONOMI'!A7</x:f>
        <x:v>Hibah NUS (2023)</x:v>
      </x:c>
      <x:c r="B10" s="38" t="n">
        <x:f>'NILAI EKONOMI'!B7</x:f>
        <x:v>1141.5222</x:v>
      </x:c>
      <x:c r="C10" s="38" t="str">
        <x:f>ASUMSI!A7</x:f>
        <x:v>Dasar</x:v>
      </x:c>
      <x:c r="D10" s="34" t="n">
        <x:f>ROUNDDOWN(B10/PARAMETER!$B$6,0)</x:f>
        <x:v>5</x:v>
      </x:c>
      <x:c r="E10" s="34" t="n">
        <x:f>ASUMSI!M7</x:f>
        <x:v>330</x:v>
      </x:c>
      <x:c r="F10" s="34" t="n">
        <x:f>ASUMSI!N7</x:f>
        <x:v>46.080000000000005</x:v>
      </x:c>
      <x:c r="G10" s="34" t="n">
        <x:f>ASUMSI!O7</x:f>
        <x:v>790.8000000000001</x:v>
      </x:c>
      <x:c r="H10" s="34" t="n">
        <x:f>ASUMSI!P7</x:f>
        <x:v>1251.6000000000001</x:v>
      </x:c>
      <x:c r="I10" s="34" t="n">
        <x:f>ROUNDDOWN(B10/E10,0)</x:f>
        <x:v>3</x:v>
      </x:c>
      <x:c r="J10" s="34" t="n">
        <x:f>ROUNDDOWN(B10/G10,0)</x:f>
        <x:v>1</x:v>
      </x:c>
      <x:c r="K10" s="34" t="n">
        <x:f>ROUNDDOWN(B10/H10,0)</x:f>
        <x:v>0</x:v>
      </x:c>
    </x:row>
    <x:row r="11">
      <x:c r="A11" s="36" t="str">
        <x:f>'NILAI EKONOMI'!A7</x:f>
        <x:v>Hibah NUS (2023)</x:v>
      </x:c>
      <x:c r="B11" s="38" t="n">
        <x:f>'NILAI EKONOMI'!B7</x:f>
        <x:v>1141.5222</x:v>
      </x:c>
      <x:c r="C11" s="38" t="str">
        <x:f>ASUMSI!A8</x:f>
        <x:v>Tinggi</x:v>
      </x:c>
      <x:c r="D11" s="34" t="n">
        <x:f>ROUNDDOWN(B11/PARAMETER!$B$6,0)</x:f>
        <x:v>5</x:v>
      </x:c>
      <x:c r="E11" s="34" t="n">
        <x:f>ASUMSI!M8</x:f>
        <x:v>489.50000000000006</x:v>
      </x:c>
      <x:c r="F11" s="34" t="n">
        <x:f>ASUMSI!N8</x:f>
        <x:v>72.725</x:v>
      </x:c>
      <x:c r="G11" s="34" t="n">
        <x:f>ASUMSI!O8</x:f>
        <x:v>1216.75</x:v>
      </x:c>
      <x:c r="H11" s="34" t="n">
        <x:f>ASUMSI!P8</x:f>
        <x:v>1944</x:v>
      </x:c>
      <x:c r="I11" s="34" t="n">
        <x:f>ROUNDDOWN(B11/E11,0)</x:f>
        <x:v>2</x:v>
      </x:c>
      <x:c r="J11" s="34" t="n">
        <x:f>ROUNDDOWN(B11/G11,0)</x:f>
        <x:v>0</x:v>
      </x:c>
      <x:c r="K11" s="34" t="n">
        <x:f>ROUNDDOWN(B11/H11,0)</x:f>
        <x:v>0</x:v>
      </x:c>
    </x:row>
    <x:row r="12">
      <x:c r="A12" s="36" t="str">
        <x:f>'NILAI EKONOMI'!A8</x:f>
        <x:v>Janji donasi NTU (2025)</x:v>
      </x:c>
      <x:c r="B12" s="38" t="n">
        <x:f>'NILAI EKONOMI'!B8</x:f>
        <x:v>97.6136</x:v>
      </x:c>
      <x:c r="C12" s="38" t="str">
        <x:f>ASUMSI!A6</x:f>
        <x:v>Hemat</x:v>
      </x:c>
      <x:c r="D12" s="34" t="n">
        <x:f>ROUNDDOWN(B12/PARAMETER!$B$6,0)</x:f>
        <x:v>0</x:v>
      </x:c>
      <x:c r="E12" s="34" t="n">
        <x:f>ASUMSI!M6</x:f>
        <x:v>269.5</x:v>
      </x:c>
      <x:c r="F12" s="34" t="n">
        <x:f>ASUMSI!N6</x:f>
        <x:v>30.3625</x:v>
      </x:c>
      <x:c r="G12" s="34" t="n">
        <x:f>ASUMSI!O6</x:f>
        <x:v>573.125</x:v>
      </x:c>
      <x:c r="H12" s="34" t="n">
        <x:f>ASUMSI!P6</x:f>
        <x:v>876.75</x:v>
      </x:c>
      <x:c r="I12" s="34" t="n">
        <x:f>ROUNDDOWN(B12/E12,0)</x:f>
        <x:v>0</x:v>
      </x:c>
      <x:c r="J12" s="34" t="n">
        <x:f>ROUNDDOWN(B12/G12,0)</x:f>
        <x:v>0</x:v>
      </x:c>
      <x:c r="K12" s="34" t="n">
        <x:f>ROUNDDOWN(B12/H12,0)</x:f>
        <x:v>0</x:v>
      </x:c>
    </x:row>
    <x:row r="13">
      <x:c r="A13" s="36" t="str">
        <x:f>'NILAI EKONOMI'!A8</x:f>
        <x:v>Janji donasi NTU (2025)</x:v>
      </x:c>
      <x:c r="B13" s="38" t="n">
        <x:f>'NILAI EKONOMI'!B8</x:f>
        <x:v>97.6136</x:v>
      </x:c>
      <x:c r="C13" s="38" t="str">
        <x:f>ASUMSI!A7</x:f>
        <x:v>Dasar</x:v>
      </x:c>
      <x:c r="D13" s="34" t="n">
        <x:f>ROUNDDOWN(B13/PARAMETER!$B$6,0)</x:f>
        <x:v>0</x:v>
      </x:c>
      <x:c r="E13" s="34" t="n">
        <x:f>ASUMSI!M7</x:f>
        <x:v>330</x:v>
      </x:c>
      <x:c r="F13" s="34" t="n">
        <x:f>ASUMSI!N7</x:f>
        <x:v>46.080000000000005</x:v>
      </x:c>
      <x:c r="G13" s="34" t="n">
        <x:f>ASUMSI!O7</x:f>
        <x:v>790.8000000000001</x:v>
      </x:c>
      <x:c r="H13" s="34" t="n">
        <x:f>ASUMSI!P7</x:f>
        <x:v>1251.6000000000001</x:v>
      </x:c>
      <x:c r="I13" s="34" t="n">
        <x:f>ROUNDDOWN(B13/E13,0)</x:f>
        <x:v>0</x:v>
      </x:c>
      <x:c r="J13" s="34" t="n">
        <x:f>ROUNDDOWN(B13/G13,0)</x:f>
        <x:v>0</x:v>
      </x:c>
      <x:c r="K13" s="34" t="n">
        <x:f>ROUNDDOWN(B13/H13,0)</x:f>
        <x:v>0</x:v>
      </x:c>
    </x:row>
    <x:row r="14">
      <x:c r="A14" s="36" t="str">
        <x:f>'NILAI EKONOMI'!A8</x:f>
        <x:v>Janji donasi NTU (2025)</x:v>
      </x:c>
      <x:c r="B14" s="38" t="n">
        <x:f>'NILAI EKONOMI'!B8</x:f>
        <x:v>97.6136</x:v>
      </x:c>
      <x:c r="C14" s="38" t="str">
        <x:f>ASUMSI!A8</x:f>
        <x:v>Tinggi</x:v>
      </x:c>
      <x:c r="D14" s="34" t="n">
        <x:f>ROUNDDOWN(B14/PARAMETER!$B$6,0)</x:f>
        <x:v>0</x:v>
      </x:c>
      <x:c r="E14" s="34" t="n">
        <x:f>ASUMSI!M8</x:f>
        <x:v>489.50000000000006</x:v>
      </x:c>
      <x:c r="F14" s="34" t="n">
        <x:f>ASUMSI!N8</x:f>
        <x:v>72.725</x:v>
      </x:c>
      <x:c r="G14" s="34" t="n">
        <x:f>ASUMSI!O8</x:f>
        <x:v>1216.75</x:v>
      </x:c>
      <x:c r="H14" s="34" t="n">
        <x:f>ASUMSI!P8</x:f>
        <x:v>1944</x:v>
      </x:c>
      <x:c r="I14" s="34" t="n">
        <x:f>ROUNDDOWN(B14/E14,0)</x:f>
        <x:v>0</x:v>
      </x:c>
      <x:c r="J14" s="34" t="n">
        <x:f>ROUNDDOWN(B14/G14,0)</x:f>
        <x:v>0</x:v>
      </x:c>
      <x:c r="K14" s="34" t="n">
        <x:f>ROUNDDOWN(B14/H14,0)</x:f>
        <x:v>0</x:v>
      </x:c>
    </x:row>
    <x:row r="15">
      <x:c r="A15" s="36" t="str">
        <x:f>'NILAI EKONOMI'!A9</x:f>
        <x:v>Donasi Low untuk UI/UGM/ITB</x:v>
      </x:c>
      <x:c r="B15" s="38" t="n">
        <x:f>'NILAI EKONOMI'!B9</x:f>
        <x:v>200</x:v>
      </x:c>
      <x:c r="C15" s="38" t="str">
        <x:f>ASUMSI!A6</x:f>
        <x:v>Hemat</x:v>
      </x:c>
      <x:c r="D15" s="34" t="n">
        <x:f>ROUNDDOWN(B15/PARAMETER!$B$6,0)</x:f>
        <x:v>1</x:v>
      </x:c>
      <x:c r="E15" s="34" t="n">
        <x:f>ASUMSI!M6</x:f>
        <x:v>269.5</x:v>
      </x:c>
      <x:c r="F15" s="34" t="n">
        <x:f>ASUMSI!N6</x:f>
        <x:v>30.3625</x:v>
      </x:c>
      <x:c r="G15" s="34" t="n">
        <x:f>ASUMSI!O6</x:f>
        <x:v>573.125</x:v>
      </x:c>
      <x:c r="H15" s="34" t="n">
        <x:f>ASUMSI!P6</x:f>
        <x:v>876.75</x:v>
      </x:c>
      <x:c r="I15" s="34" t="n">
        <x:f>ROUNDDOWN(B15/E15,0)</x:f>
        <x:v>0</x:v>
      </x:c>
      <x:c r="J15" s="34" t="n">
        <x:f>ROUNDDOWN(B15/G15,0)</x:f>
        <x:v>0</x:v>
      </x:c>
      <x:c r="K15" s="34" t="n">
        <x:f>ROUNDDOWN(B15/H15,0)</x:f>
        <x:v>0</x:v>
      </x:c>
    </x:row>
    <x:row r="16">
      <x:c r="A16" s="36" t="str">
        <x:f>'NILAI EKONOMI'!A9</x:f>
        <x:v>Donasi Low untuk UI/UGM/ITB</x:v>
      </x:c>
      <x:c r="B16" s="38" t="n">
        <x:f>'NILAI EKONOMI'!B9</x:f>
        <x:v>200</x:v>
      </x:c>
      <x:c r="C16" s="38" t="str">
        <x:f>ASUMSI!A7</x:f>
        <x:v>Dasar</x:v>
      </x:c>
      <x:c r="D16" s="34" t="n">
        <x:f>ROUNDDOWN(B16/PARAMETER!$B$6,0)</x:f>
        <x:v>1</x:v>
      </x:c>
      <x:c r="E16" s="34" t="n">
        <x:f>ASUMSI!M7</x:f>
        <x:v>330</x:v>
      </x:c>
      <x:c r="F16" s="34" t="n">
        <x:f>ASUMSI!N7</x:f>
        <x:v>46.080000000000005</x:v>
      </x:c>
      <x:c r="G16" s="34" t="n">
        <x:f>ASUMSI!O7</x:f>
        <x:v>790.8000000000001</x:v>
      </x:c>
      <x:c r="H16" s="34" t="n">
        <x:f>ASUMSI!P7</x:f>
        <x:v>1251.6000000000001</x:v>
      </x:c>
      <x:c r="I16" s="34" t="n">
        <x:f>ROUNDDOWN(B16/E16,0)</x:f>
        <x:v>0</x:v>
      </x:c>
      <x:c r="J16" s="34" t="n">
        <x:f>ROUNDDOWN(B16/G16,0)</x:f>
        <x:v>0</x:v>
      </x:c>
      <x:c r="K16" s="34" t="n">
        <x:f>ROUNDDOWN(B16/H16,0)</x:f>
        <x:v>0</x:v>
      </x:c>
    </x:row>
    <x:row r="17">
      <x:c r="A17" s="36" t="str">
        <x:f>'NILAI EKONOMI'!A9</x:f>
        <x:v>Donasi Low untuk UI/UGM/ITB</x:v>
      </x:c>
      <x:c r="B17" s="38" t="n">
        <x:f>'NILAI EKONOMI'!B9</x:f>
        <x:v>200</x:v>
      </x:c>
      <x:c r="C17" s="38" t="str">
        <x:f>ASUMSI!A8</x:f>
        <x:v>Tinggi</x:v>
      </x:c>
      <x:c r="D17" s="34" t="n">
        <x:f>ROUNDDOWN(B17/PARAMETER!$B$6,0)</x:f>
        <x:v>1</x:v>
      </x:c>
      <x:c r="E17" s="34" t="n">
        <x:f>ASUMSI!M8</x:f>
        <x:v>489.50000000000006</x:v>
      </x:c>
      <x:c r="F17" s="34" t="n">
        <x:f>ASUMSI!N8</x:f>
        <x:v>72.725</x:v>
      </x:c>
      <x:c r="G17" s="34" t="n">
        <x:f>ASUMSI!O8</x:f>
        <x:v>1216.75</x:v>
      </x:c>
      <x:c r="H17" s="34" t="n">
        <x:f>ASUMSI!P8</x:f>
        <x:v>1944</x:v>
      </x:c>
      <x:c r="I17" s="34" t="n">
        <x:f>ROUNDDOWN(B17/E17,0)</x:f>
        <x:v>0</x:v>
      </x:c>
      <x:c r="J17" s="34" t="n">
        <x:f>ROUNDDOWN(B17/G17,0)</x:f>
        <x:v>0</x:v>
      </x:c>
      <x:c r="K17" s="34" t="n">
        <x:f>ROUNDDOWN(B17/H17,0)</x:f>
        <x:v>0</x:v>
      </x:c>
    </x:row>
    <x:row r="18">
      <x:c r="A18" s="36" t="str">
        <x:f>'NILAI EKONOMI'!A10</x:f>
        <x:v>Pendidikan PPM Bayan 2022-2025</x:v>
      </x:c>
      <x:c r="B18" s="38" t="n">
        <x:f>'NILAI EKONOMI'!B10</x:f>
        <x:v>33.52</x:v>
      </x:c>
      <x:c r="C18" s="38" t="str">
        <x:f>ASUMSI!A6</x:f>
        <x:v>Hemat</x:v>
      </x:c>
      <x:c r="D18" s="34" t="n">
        <x:f>ROUNDDOWN(B18/PARAMETER!$B$6,0)</x:f>
        <x:v>0</x:v>
      </x:c>
      <x:c r="E18" s="34" t="n">
        <x:f>ASUMSI!M6</x:f>
        <x:v>269.5</x:v>
      </x:c>
      <x:c r="F18" s="34" t="n">
        <x:f>ASUMSI!N6</x:f>
        <x:v>30.3625</x:v>
      </x:c>
      <x:c r="G18" s="34" t="n">
        <x:f>ASUMSI!O6</x:f>
        <x:v>573.125</x:v>
      </x:c>
      <x:c r="H18" s="34" t="n">
        <x:f>ASUMSI!P6</x:f>
        <x:v>876.75</x:v>
      </x:c>
      <x:c r="I18" s="34" t="n">
        <x:f>ROUNDDOWN(B18/E18,0)</x:f>
        <x:v>0</x:v>
      </x:c>
      <x:c r="J18" s="34" t="n">
        <x:f>ROUNDDOWN(B18/G18,0)</x:f>
        <x:v>0</x:v>
      </x:c>
      <x:c r="K18" s="34" t="n">
        <x:f>ROUNDDOWN(B18/H18,0)</x:f>
        <x:v>0</x:v>
      </x:c>
    </x:row>
    <x:row r="19">
      <x:c r="A19" s="36" t="str">
        <x:f>'NILAI EKONOMI'!A10</x:f>
        <x:v>Pendidikan PPM Bayan 2022-2025</x:v>
      </x:c>
      <x:c r="B19" s="38" t="n">
        <x:f>'NILAI EKONOMI'!B10</x:f>
        <x:v>33.52</x:v>
      </x:c>
      <x:c r="C19" s="38" t="str">
        <x:f>ASUMSI!A7</x:f>
        <x:v>Dasar</x:v>
      </x:c>
      <x:c r="D19" s="34" t="n">
        <x:f>ROUNDDOWN(B19/PARAMETER!$B$6,0)</x:f>
        <x:v>0</x:v>
      </x:c>
      <x:c r="E19" s="34" t="n">
        <x:f>ASUMSI!M7</x:f>
        <x:v>330</x:v>
      </x:c>
      <x:c r="F19" s="34" t="n">
        <x:f>ASUMSI!N7</x:f>
        <x:v>46.080000000000005</x:v>
      </x:c>
      <x:c r="G19" s="34" t="n">
        <x:f>ASUMSI!O7</x:f>
        <x:v>790.8000000000001</x:v>
      </x:c>
      <x:c r="H19" s="34" t="n">
        <x:f>ASUMSI!P7</x:f>
        <x:v>1251.6000000000001</x:v>
      </x:c>
      <x:c r="I19" s="34" t="n">
        <x:f>ROUNDDOWN(B19/E19,0)</x:f>
        <x:v>0</x:v>
      </x:c>
      <x:c r="J19" s="34" t="n">
        <x:f>ROUNDDOWN(B19/G19,0)</x:f>
        <x:v>0</x:v>
      </x:c>
      <x:c r="K19" s="34" t="n">
        <x:f>ROUNDDOWN(B19/H19,0)</x:f>
        <x:v>0</x:v>
      </x:c>
    </x:row>
    <x:row r="20">
      <x:c r="A20" s="36" t="str">
        <x:f>'NILAI EKONOMI'!A10</x:f>
        <x:v>Pendidikan PPM Bayan 2022-2025</x:v>
      </x:c>
      <x:c r="B20" s="38" t="n">
        <x:f>'NILAI EKONOMI'!B10</x:f>
        <x:v>33.52</x:v>
      </x:c>
      <x:c r="C20" s="38" t="str">
        <x:f>ASUMSI!A8</x:f>
        <x:v>Tinggi</x:v>
      </x:c>
      <x:c r="D20" s="34" t="n">
        <x:f>ROUNDDOWN(B20/PARAMETER!$B$6,0)</x:f>
        <x:v>0</x:v>
      </x:c>
      <x:c r="E20" s="34" t="n">
        <x:f>ASUMSI!M8</x:f>
        <x:v>489.50000000000006</x:v>
      </x:c>
      <x:c r="F20" s="34" t="n">
        <x:f>ASUMSI!N8</x:f>
        <x:v>72.725</x:v>
      </x:c>
      <x:c r="G20" s="34" t="n">
        <x:f>ASUMSI!O8</x:f>
        <x:v>1216.75</x:v>
      </x:c>
      <x:c r="H20" s="34" t="n">
        <x:f>ASUMSI!P8</x:f>
        <x:v>1944</x:v>
      </x:c>
      <x:c r="I20" s="34" t="n">
        <x:f>ROUNDDOWN(B20/E20,0)</x:f>
        <x:v>0</x:v>
      </x:c>
      <x:c r="J20" s="34" t="n">
        <x:f>ROUNDDOWN(B20/G20,0)</x:f>
        <x:v>0</x:v>
      </x:c>
      <x:c r="K20" s="34" t="n">
        <x:f>ROUNDDOWN(B20/H20,0)</x:f>
        <x:v>0</x:v>
      </x:c>
    </x:row>
    <x:row r="23" ht="26" customHeight="1">
      <x:c r="A23" s="26" t="str">
        <x:v>WARNING: FLOOR hasil jumlah sekolah ekuivalen nominal, bukan realisasi, penerima manfaat, anggaran negara, hak atas saham, atau pengalihan donasi NUS. Hanya berlaku pada asumsi dan tahun nominal konstan.</x:v>
      </x:c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</x:row>
    <x:row r="24" ht="26" customHeight="1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</x:row>
  </x:sheetData>
  <x:mergeCells>
    <x:mergeCell ref="A1:M2"/>
    <x:mergeCell ref="A3:M3"/>
    <x:mergeCell ref="A23:K2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6" hidden="0" customWidth="1"/>
    <x:col min="2" max="2" width="25" hidden="0" customWidth="1"/>
    <x:col min="3" max="3" width="57" hidden="0" customWidth="1"/>
    <x:col min="4" max="4" width="3" hidden="0" customWidth="1"/>
    <x:col min="5" max="5" width="20" hidden="0" customWidth="1"/>
    <x:col min="6" max="6" width="20" hidden="0" customWidth="1"/>
    <x:col min="7" max="7" width="18" hidden="0" customWidth="1"/>
  </x:cols>
  <x:sheetData>
    <x:row r="1" ht="26" customHeight="1">
      <x:c r="A1" s="4" t="str">
        <x:v>KALCER | SEKOLAH VS NILAI BATU BARA</x:v>
      </x:c>
      <x:c r="B1" s="4"/>
      <x:c r="C1" s="4"/>
      <x:c r="D1" s="4"/>
      <x:c r="E1" s="4"/>
      <x:c r="F1" s="4"/>
      <x:c r="G1" s="4"/>
    </x:row>
    <x:row r="2" ht="26" customHeight="1">
      <x:c r="A2" s="4"/>
      <x:c r="B2" s="4"/>
      <x:c r="C2" s="4"/>
      <x:c r="D2" s="4"/>
      <x:c r="E2" s="4"/>
      <x:c r="F2" s="4"/>
      <x:c r="G2" s="4"/>
    </x:row>
    <x:row r="3" ht="28" customHeight="1">
      <x:c r="A3" s="9" t="str">
        <x:v>Riset 7 · skenario Dasar hipotetis, bukan RAB atau rencana pemakaian saham keluarga</x:v>
      </x:c>
      <x:c r="B3" s="9"/>
      <x:c r="C3" s="9"/>
      <x:c r="D3" s="9"/>
      <x:c r="E3" s="9"/>
      <x:c r="F3" s="9"/>
      <x:c r="G3" s="9"/>
    </x:row>
    <x:row r="5" ht="28" customHeight="1">
      <x:c r="A5" s="14" t="str">
        <x:v>INDIKATOR</x:v>
      </x:c>
      <x:c r="B5" s="14" t="str">
        <x:v>NILAI</x:v>
      </x:c>
      <x:c r="C5" s="14" t="str">
        <x:v>INTERPRETASI</x:v>
      </x:c>
    </x:row>
    <x:row r="6" ht="26" customHeight="1">
      <x:c r="A6" t="str">
        <x:v>Nilai saham hibah BYAN 2024 (Rp miliar)</x:v>
      </x:c>
      <x:c r="B6" s="38" t="n">
        <x:f>'NILAI EKONOMI'!B6</x:f>
        <x:v>101845.3384256</x:v>
      </x:c>
      <x:c r="C6" t="str">
        <x:v>Aset saham, bukan kas</x:v>
      </x:c>
    </x:row>
    <x:row r="7" ht="26" customHeight="1">
      <x:c r="A7" t="str">
        <x:v>Benchmark konstruksi satu Garuda (Rp miliar)</x:v>
      </x:c>
      <x:c r="B7" s="38" t="n">
        <x:f>PARAMETER!B6</x:f>
        <x:v>200</x:v>
      </x:c>
      <x:c r="C7" t="str">
        <x:v>Konstruksi saja, belum biaya seumur hidup</x:v>
      </x:c>
    </x:row>
    <x:row r="8" ht="26" customHeight="1">
      <x:c r="A8" t="str">
        <x:v>Ekuivalensi jumlah bangunan fisik</x:v>
      </x:c>
      <x:c r="B8" s="38" t="n">
        <x:f>ROUNDDOWN(B6/B7,0)</x:f>
        <x:v>509</x:v>
      </x:c>
      <x:c r="C8" t="str">
        <x:v>509 paket fisik @Rp200m</x:v>
      </x:c>
    </x:row>
    <x:row r="9" ht="26" customHeight="1">
      <x:c r="A9" t="str">
        <x:v>CAPEX skenario Dasar (Rp miliar)</x:v>
      </x:c>
      <x:c r="B9" s="38" t="n">
        <x:f>ASUMSI!M7</x:f>
        <x:v>330</x:v>
      </x:c>
      <x:c r="C9" t="str">
        <x:v>Asumsi gedung+asrama+lab+utilitas</x:v>
      </x:c>
    </x:row>
    <x:row r="10" ht="26" customHeight="1">
      <x:c r="A10" t="str">
        <x:v>OPEX/tahun skenario Dasar (Rp miliar)</x:v>
      </x:c>
      <x:c r="B10" s="38" t="n">
        <x:f>ASUMSI!N7</x:f>
        <x:v>46.080000000000005</x:v>
      </x:c>
      <x:c r="C10" t="str">
        <x:v>Asumsi operasi 480 siswa saat matang</x:v>
      </x:c>
    </x:row>
    <x:row r="11" ht="26" customHeight="1">
      <x:c r="A11" t="str">
        <x:v>20 tahun skenario Dasar (Rp miliar)</x:v>
      </x:c>
      <x:c r="B11" s="38" t="n">
        <x:f>ASUMSI!P7</x:f>
        <x:v>1251.6000000000001</x:v>
      </x:c>
      <x:c r="C11" t="str">
        <x:v>Tanpa inflasi dan nilai kini</x:v>
      </x:c>
    </x:row>
    <x:row r="12" ht="26" customHeight="1">
      <x:c r="A12" t="str">
        <x:v>Ekuivalensi sekolah 20 tahun dari nilai saham</x:v>
      </x:c>
      <x:c r="B12" s="38" t="n">
        <x:f>ROUNDDOWN(B6/B11,0)</x:f>
        <x:v>81</x:v>
      </x:c>
      <x:c r="C12" t="str">
        <x:v>Bukan sekolah sungguhan</x:v>
      </x:c>
    </x:row>
    <x:row r="13" ht="26" customHeight="1">
      <x:c r="A13" t="str">
        <x:v>Donasi NUS (Rp miliar), kurs Februari 2023</x:v>
      </x:c>
      <x:c r="B13" s="38" t="n">
        <x:f>'NILAI EKONOMI'!B7</x:f>
        <x:v>1141.5222</x:v>
      </x:c>
      <x:c r="C13" t="str">
        <x:v>S$101m dikonversi kurs indikatif historis</x:v>
      </x:c>
    </x:row>
    <x:row r="14" ht="26" customHeight="1">
      <x:c r="A14" t="str">
        <x:v>Ekuivalensi sekolah 20 tahun dari NUS</x:v>
      </x:c>
      <x:c r="B14" s="38" t="n">
        <x:f>B13/B11</x:f>
        <x:v>0.9120503355704698</x:v>
      </x:c>
      <x:c r="C14" t="str">
        <x:v>Pecahan jumlah sekolah, bukan jumlah bulat</x:v>
      </x:c>
    </x:row>
    <x:row r="15" ht="26" customHeight="1">
      <x:c r="A15" t="str">
        <x:v>Desa Tabang 2023 tanpa SMP setempat</x:v>
      </x:c>
      <x:c r="B15" s="38" t="n">
        <x:f>'TABANG'!B9</x:f>
        <x:v>16</x:v>
      </x:c>
      <x:c r="C15" t="str">
        <x:v>Tanpa fasilitas lokal tidak sama dengan putus sekolah</x:v>
      </x:c>
    </x:row>
    <x:row r="17" ht="27" customHeight="1">
      <x:c r="A17" s="26" t="str">
        <x:v>PERINGATAN: 509 mengacu konstruksi fisik saja. Model Dasar sekitar 81 sekolah 20 tahun hanya ekuivalensi aritmetika pada sejumlah asumsi; biaya berbeda per lokasi, kepemilikan saham bukan dana publik, dan sekolah unggul nasional tidak otomatis melayani seluruh desa tambang.</x:v>
      </x:c>
      <x:c r="B17" s="26"/>
      <x:c r="C17" s="26"/>
    </x:row>
    <x:row r="18" ht="27" customHeight="1">
      <x:c r="A18" s="26"/>
      <x:c r="B18" s="26"/>
      <x:c r="C18" s="26"/>
    </x:row>
    <x:row r="19" ht="27" customHeight="1">
      <x:c r="A19" s="26"/>
      <x:c r="B19" s="26"/>
      <x:c r="C19" s="26"/>
    </x:row>
  </x:sheetData>
  <x:mergeCells>
    <x:mergeCell ref="A1:G2"/>
    <x:mergeCell ref="A3:G3"/>
    <x:mergeCell ref="A17:C19"/>
  </x:mergeCells>
  <x:pageMargins left="0.7" right="0.7" top="0.75" bottom="0.75" header="0.3" footer="0.3"/>
  <x:drawing xmlns:r="http://schemas.openxmlformats.org/officeDocument/2006/relationships" r:id="Rfbc54140d0024b7e"/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58" hidden="0" customWidth="1"/>
    <x:col min="2" max="2" width="22" hidden="0" customWidth="1"/>
    <x:col min="3" max="3" width="83" hidden="0" customWidth="1"/>
  </x:cols>
  <x:sheetData>
    <x:row r="1" ht="26" customHeight="1">
      <x:c r="A1" s="4" t="str">
        <x:v>KONTEKS PENDIDIKAN TABANG</x:v>
      </x:c>
      <x:c r="B1" s="4"/>
      <x:c r="C1" s="4"/>
      <x:c r="D1" s="4"/>
      <x:c r="E1" s="4"/>
    </x:row>
    <x:row r="2" ht="26" customHeight="1">
      <x:c r="A2" s="4"/>
      <x:c r="B2" s="4"/>
      <x:c r="C2" s="4"/>
      <x:c r="D2" s="4"/>
      <x:c r="E2" s="4"/>
    </x:row>
    <x:row r="3" ht="28" customHeight="1">
      <x:c r="A3" s="9" t="str">
        <x:v>BPS tahun referensi 2023, fasilitas per desa. BELUM menunjukkan jumlah siswa harus sekolah baru.</x:v>
      </x:c>
      <x:c r="B3" s="9"/>
      <x:c r="C3" s="9"/>
      <x:c r="D3" s="9"/>
      <x:c r="E3" s="9"/>
    </x:row>
    <x:row r="5" ht="28" customHeight="1">
      <x:c r="A5" s="14" t="str">
        <x:v>METRIK</x:v>
      </x:c>
      <x:c r="B5" s="14" t="str">
        <x:v>JUMLAH</x:v>
      </x:c>
      <x:c r="C5" s="14" t="str">
        <x:v>SUMBER / BATASAN</x:v>
      </x:c>
    </x:row>
    <x:row r="6">
      <x:c r="A6" t="str">
        <x:v>Jumlah desa Tabang</x:v>
      </x:c>
      <x:c r="B6" t="n">
        <x:v>19</x:v>
      </x:c>
      <x:c r="C6" t="str">
        <x:v>BPS Tabang Dalam Angka 2024 (data 2023)</x:v>
      </x:c>
    </x:row>
    <x:row r="7">
      <x:c r="A7" t="str">
        <x:v>Desa memiliki SMP</x:v>
      </x:c>
      <x:c r="B7" t="n">
        <x:v>3</x:v>
      </x:c>
      <x:c r="C7" t="str">
        <x:v>Desa dengan SMP setempat, bukan total sekolah</x:v>
      </x:c>
    </x:row>
    <x:row r="8">
      <x:c r="A8" t="str">
        <x:v>Desa memiliki SMA</x:v>
      </x:c>
      <x:c r="B8" t="n">
        <x:v>2</x:v>
      </x:c>
      <x:c r="C8" t="str">
        <x:v>Desa dengan SMA setempat, bukan total sekolah</x:v>
      </x:c>
    </x:row>
    <x:row r="9">
      <x:c r="A9" t="str">
        <x:v>Desa tanpa SMP setempat</x:v>
      </x:c>
      <x:c r="B9" t="n">
        <x:f>B6-B7</x:f>
        <x:v>16</x:v>
      </x:c>
      <x:c r="C9" t="str">
        <x:v>Dapat sekolah di luar desa; waktu perjalanan belum dihitung</x:v>
      </x:c>
    </x:row>
    <x:row r="10">
      <x:c r="A10" t="str">
        <x:v>Desa tanpa SMA setempat</x:v>
      </x:c>
      <x:c r="B10" t="n">
        <x:f>B6-B8</x:f>
        <x:v>17</x:v>
      </x:c>
      <x:c r="C10" t="str">
        <x:v>Dapat sekolah di luar desa; waktu perjalanan belum dihitung</x:v>
      </x:c>
    </x:row>
    <x:row r="12">
      <x:c r="A12" t="str">
        <x:v>Rata-rata bantuan revitalisasi SD 2025 (Rp miliar)</x:v>
      </x:c>
      <x:c r="B12" s="30" t="n">
        <x:f>B14/B13</x:f>
        <x:v>0.7095448798988622</x:v>
      </x:c>
    </x:row>
    <x:row r="13">
      <x:c r="A13" t="str">
        <x:v>Jumlah penerima SD revitalisasi nasional 2025</x:v>
      </x:c>
      <x:c r="B13" s="18" t="n">
        <x:v>6328</x:v>
      </x:c>
    </x:row>
    <x:row r="14">
      <x:c r="A14" t="str">
        <x:v>Dana bantuan SD revitalisasi nasional 2025 (Rp miliar)</x:v>
      </x:c>
      <x:c r="B14" s="18" t="n">
        <x:v>4490</x:v>
      </x:c>
    </x:row>
    <x:row r="15">
      <x:c r="A15" t="str">
        <x:v>Acuan historis perbaikan, bukan biaya SMP baru</x:v>
      </x:c>
      <x:c r="B15"/>
    </x:row>
    <x:row r="18" ht="25" customHeight="1">
      <x:c r="A18" s="26" t="str">
        <x:v>ALTERNATIF BERBASIS KEBUTUHAN: audit biaya perjalanan/kapal sekolah, asrama, kapasitas SMP yang ada, guru, internet, dan rehabilitasi. Tidak otomatis bangun 16 SMP baru untuk 16 desa yang tidak mempunyai SMP setempat.</x:v>
      </x:c>
      <x:c r="B18" s="26"/>
      <x:c r="C18" s="26"/>
    </x:row>
    <x:row r="19" ht="25" customHeight="1">
      <x:c r="A19" s="26"/>
      <x:c r="B19" s="26"/>
      <x:c r="C19" s="26"/>
    </x:row>
  </x:sheetData>
  <x:mergeCells>
    <x:mergeCell ref="A1:E2"/>
    <x:mergeCell ref="A3:E3"/>
    <x:mergeCell ref="A18:C1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56" hidden="0" customWidth="1"/>
    <x:col min="3" max="3" width="19" hidden="0" customWidth="1"/>
    <x:col min="4" max="4" width="22" hidden="0" customWidth="1"/>
    <x:col min="5" max="5" width="15" hidden="0" customWidth="1"/>
    <x:col min="6" max="6" width="43" hidden="0" customWidth="1"/>
    <x:col min="7" max="7" width="17" hidden="0" customWidth="1"/>
    <x:col min="8" max="8" width="79" hidden="0" customWidth="1"/>
    <x:col min="9" max="9" width="12" hidden="0" customWidth="1"/>
  </x:cols>
  <x:sheetData>
    <x:row r="1" ht="34" customHeight="1">
      <x:c r="A1" s="43" t="str">
        <x:v>benchmark_id</x:v>
      </x:c>
      <x:c r="B1" s="43" t="str">
        <x:v>description</x:v>
      </x:c>
      <x:c r="C1" s="43" t="str">
        <x:v>amount</x:v>
      </x:c>
      <x:c r="D1" s="43" t="str">
        <x:v>unit</x:v>
      </x:c>
      <x:c r="E1" s="43" t="str">
        <x:v>year</x:v>
      </x:c>
      <x:c r="F1" s="43" t="str">
        <x:v>scope</x:v>
      </x:c>
      <x:c r="G1" s="43" t="str">
        <x:v>source_ids</x:v>
      </x:c>
      <x:c r="H1" s="43" t="str">
        <x:v>limitations</x:v>
      </x:c>
      <x:c r="I1" s="43" t="str">
        <x:v>grade</x:v>
      </x:c>
    </x:row>
    <x:row r="2" ht="25" customHeight="1">
      <x:c r="A2" t="str">
        <x:v>B01</x:v>
      </x:c>
      <x:c r="B2" t="str">
        <x:v>Estimasi biaya pembangunan fisik Garuda Baru</x:v>
      </x:c>
      <x:c r="C2" s="40" t="n">
        <x:v>200</x:v>
      </x:c>
      <x:c r="D2" t="str">
        <x:v>Rp miliar/sekolah</x:v>
      </x:c>
      <x:c r="E2" t="n">
        <x:v>2026</x:v>
      </x:c>
      <x:c r="F2" t="str">
        <x:v>pembangunan saja</x:v>
      </x:c>
      <x:c r="G2" t="str">
        <x:v>S02;S18</x:v>
      </x:c>
      <x:c r="H2" t="str">
        <x:v>Perkiraan otoritas, bukan harga kontrak; excludes opex</x:v>
      </x:c>
      <x:c r="I2" t="str">
        <x:v>A/B</x:v>
      </x:c>
    </x:row>
    <x:row r="3" ht="25" customHeight="1">
      <x:c r="A3" s="46" t="str">
        <x:v>B02</x:v>
      </x:c>
      <x:c r="B3" s="46" t="str">
        <x:v>Estimasi gedung dan infrastruktur Garuda TTS</x:v>
      </x:c>
      <x:c r="C3" s="48" t="n">
        <x:v>233</x:v>
      </x:c>
      <x:c r="D3" s="46" t="str">
        <x:v>Rp miliar/sekolah</x:v>
      </x:c>
      <x:c r="E3" s="46" t="n">
        <x:v>2025</x:v>
      </x:c>
      <x:c r="F3" s="46" t="str">
        <x:v>pembangunan gedung+infrastruktur</x:v>
      </x:c>
      <x:c r="G3" s="46" t="str">
        <x:v>S03</x:v>
      </x:c>
      <x:c r="H3" s="46" t="str">
        <x:v>Konteks satu proyek, belum operasional</x:v>
      </x:c>
      <x:c r="I3" s="46" t="str">
        <x:v>B</x:v>
      </x:c>
    </x:row>
    <x:row r="4" ht="25" customHeight="1">
      <x:c r="A4" t="str">
        <x:v>B03</x:v>
      </x:c>
      <x:c r="B4" t="str">
        <x:v>Pagu pengadaan konstruksi Sulawesi Tenggara</x:v>
      </x:c>
      <x:c r="C4" s="40" t="n">
        <x:v>218.167</x:v>
      </x:c>
      <x:c r="D4" t="str">
        <x:v>Rp miliar/paket</x:v>
      </x:c>
      <x:c r="E4" t="str">
        <x:v>2025-26</x:v>
      </x:c>
      <x:c r="F4" t="str">
        <x:v>pagu tender konstruksi</x:v>
      </x:c>
      <x:c r="G4" t="str">
        <x:v>S04</x:v>
      </x:c>
      <x:c r="H4" t="str">
        <x:v>Bukan biaya total atau realisasi</x:v>
      </x:c>
      <x:c r="I4" t="str">
        <x:v>B</x:v>
      </x:c>
    </x:row>
    <x:row r="5" ht="25" customHeight="1">
      <x:c r="A5" s="46" t="str">
        <x:v>B04</x:v>
      </x:c>
      <x:c r="B5" s="46" t="str">
        <x:v>Pagu pengadaan konstruksi Kalimantan Utara</x:v>
      </x:c>
      <x:c r="C5" s="48" t="n">
        <x:v>297.121</x:v>
      </x:c>
      <x:c r="D5" s="46" t="str">
        <x:v>Rp miliar/paket</x:v>
      </x:c>
      <x:c r="E5" s="46" t="n">
        <x:v>2026</x:v>
      </x:c>
      <x:c r="F5" s="46" t="str">
        <x:v>pagu tender konstruksi</x:v>
      </x:c>
      <x:c r="G5" s="46" t="str">
        <x:v>S05</x:v>
      </x:c>
      <x:c r="H5" s="46" t="str">
        <x:v>Bukan biaya total atau realisasi</x:v>
      </x:c>
      <x:c r="I5" s="46" t="str">
        <x:v>B</x:v>
      </x:c>
    </x:row>
    <x:row r="6" ht="25" customHeight="1">
      <x:c r="A6" t="str">
        <x:v>B05</x:v>
      </x:c>
      <x:c r="B6" t="str">
        <x:v>RAPBN Sekolah Garuda sembilan lokasi</x:v>
      </x:c>
      <x:c r="C6" s="40" t="n">
        <x:v>3000</x:v>
      </x:c>
      <x:c r="D6" t="str">
        <x:v>Rp miliar/program</x:v>
      </x:c>
      <x:c r="E6" t="n">
        <x:v>2026</x:v>
      </x:c>
      <x:c r="F6" t="str">
        <x:v>program multi-lokasi pembangunan lanjutan</x:v>
      </x:c>
      <x:c r="G6" t="str">
        <x:v>S01</x:v>
      </x:c>
      <x:c r="H6" t="str">
        <x:v>Rp333.33B/lokasi BUKAN biaya proyek lengkap</x:v>
      </x:c>
      <x:c r="I6" t="str">
        <x:v>A</x:v>
      </x:c>
    </x:row>
    <x:row r="7" ht="25" customHeight="1">
      <x:c r="A7" s="46" t="str">
        <x:v>B06</x:v>
      </x:c>
      <x:c r="B7" s="46" t="str">
        <x:v>Penerimaan tahun pertama per sekolah baru</x:v>
      </x:c>
      <x:c r="C7" s="48" t="n">
        <x:v>160</x:v>
      </x:c>
      <x:c r="D7" s="46" t="str">
        <x:v>siswa/angkatan</x:v>
      </x:c>
      <x:c r="E7" s="46" t="n">
        <x:v>2026</x:v>
      </x:c>
      <x:c r="F7" s="46" t="str">
        <x:v>kuota sekolah baru</x:v>
      </x:c>
      <x:c r="G7" s="46" t="str">
        <x:v>S06</x:v>
      </x:c>
      <x:c r="H7" s="46" t="str">
        <x:v>Mature 3 years x 160 = 480 siswa sebagai asumsi</x:v>
      </x:c>
      <x:c r="I7" s="46" t="str">
        <x:v>A</x:v>
      </x:c>
    </x:row>
    <x:row r="8" ht="25" customHeight="1">
      <x:c r="A8" t="str">
        <x:v>B07</x:v>
      </x:c>
      <x:c r="B8" t="str">
        <x:v>Rata-rata bantuan revitalisasi SD (6,328 proyek)</x:v>
      </x:c>
      <x:c r="C8" s="40" t="n">
        <x:v>709.5448798988622</x:v>
      </x:c>
      <x:c r="D8" t="str">
        <x:v>Rp juta/sekolah</x:v>
      </x:c>
      <x:c r="E8" t="n">
        <x:v>2025</x:v>
      </x:c>
      <x:c r="F8" t="str">
        <x:v>rata-rata bantuan bukan unit cost definitif</x:v>
      </x:c>
      <x:c r="G8" t="str">
        <x:v>S13</x:v>
      </x:c>
      <x:c r="H8" t="str">
        <x:v>Paket dan tingkat kerusakan berbeda; ≈709.55 juta</x:v>
      </x:c>
      <x:c r="I8" t="str">
        <x:v>B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75" hidden="0" customWidth="1"/>
    <x:col min="3" max="3" width="45" hidden="0" customWidth="1"/>
    <x:col min="4" max="4" width="16" hidden="0" customWidth="1"/>
    <x:col min="5" max="5" width="83" hidden="0" customWidth="1"/>
  </x:cols>
  <x:sheetData>
    <x:row r="1" ht="34" customHeight="1">
      <x:c r="A1" s="43" t="str">
        <x:v>gap_id</x:v>
      </x:c>
      <x:c r="B1" s="43" t="str">
        <x:v>missing_document_or_information</x:v>
      </x:c>
      <x:c r="C1" s="43" t="str">
        <x:v>likely_source</x:v>
      </x:c>
      <x:c r="D1" s="43" t="str">
        <x:v>priority</x:v>
      </x:c>
      <x:c r="E1" s="43" t="str">
        <x:v>reason</x:v>
      </x:c>
    </x:row>
    <x:row r="2" ht="25" customHeight="1">
      <x:c r="A2" t="str">
        <x:v>G01</x:v>
      </x:c>
      <x:c r="B2" t="str">
        <x:v>2026 Sekolah Garuda final audited all-in construction cost by campus</x:v>
      </x:c>
      <x:c r="C2" t="str">
        <x:v>Kemdiktisaintek; LPSE; LKPP</x:v>
      </x:c>
      <x:c r="D2" t="str">
        <x:v>Critical</x:v>
      </x:c>
      <x:c r="E2" t="str">
        <x:v>Tender HPS/pagu != final cost; avoid treating total CAPEX as official</x:v>
      </x:c>
    </x:row>
    <x:row r="3" ht="25" customHeight="1">
      <x:c r="A3" s="46" t="str">
        <x:v>G02</x:v>
      </x:c>
      <x:c r="B3" s="46" t="str">
        <x:v>2026 Garuda annual actual operating budget per pupil and per campus</x:v>
      </x:c>
      <x:c r="C3" s="46" t="str">
        <x:v>Kemdiktisaintek; DIPA; RKAKL</x:v>
      </x:c>
      <x:c r="D3" s="46" t="str">
        <x:v>Critical</x:v>
      </x:c>
      <x:c r="E3" s="46" t="str">
        <x:v>Current model opex is deliberately hypothetical</x:v>
      </x:c>
    </x:row>
    <x:row r="4" ht="25" customHeight="1">
      <x:c r="A4" t="str">
        <x:v>G03</x:v>
      </x:c>
      <x:c r="B4" t="str">
        <x:v>Separate scope BoQ for school buildings, dormitories, labs, utilities, site</x:v>
      </x:c>
      <x:c r="C4" t="str">
        <x:v>SPSE; procurement annex</x:v>
      </x:c>
      <x:c r="D4" t="str">
        <x:v>Critical</x:v>
      </x:c>
      <x:c r="E4" t="str">
        <x:v>Risk of double counting between Rp200B physical and added categories</x:v>
      </x:c>
    </x:row>
    <x:row r="5" ht="25" customHeight="1">
      <x:c r="A5" s="46" t="str">
        <x:v>G04</x:v>
      </x:c>
      <x:c r="B5" s="46" t="str">
        <x:v>School Garuda endowment yields, spending and protections against inflation</x:v>
      </x:c>
      <x:c r="C5" s="46" t="str">
        <x:v>Kemdiktisaintek; LPDP; Ministry Finance</x:v>
      </x:c>
      <x:c r="D5" s="46" t="str">
        <x:v>High</x:v>
      </x:c>
      <x:c r="E5" s="46" t="str">
        <x:v>Without this, sustainability is not demonstrated</x:v>
      </x:c>
    </x:row>
    <x:row r="6" ht="25" customHeight="1">
      <x:c r="A6" t="str">
        <x:v>G05</x:v>
      </x:c>
      <x:c r="B6" t="str">
        <x:v>Number of Tabang 12-17yr students by village and routes/water crossings</x:v>
      </x:c>
      <x:c r="C6" t="str">
        <x:v>BPS Kukar; Dinas Pendidikan; desa</x:v>
      </x:c>
      <x:c r="D6" t="str">
        <x:v>Critical</x:v>
      </x:c>
      <x:c r="E6" t="str">
        <x:v>16 villages without SMP do not imply 16 new SMPs required</x:v>
      </x:c>
    </x:row>
    <x:row r="7" ht="25" customHeight="1">
      <x:c r="A7" s="46" t="str">
        <x:v>G06</x:v>
      </x:c>
      <x:c r="B7" s="46" t="str">
        <x:v>Tabang SMP seat capacity, occupancy, teacher vacancies, dropout and transition</x:v>
      </x:c>
      <x:c r="C7" s="46" t="str">
        <x:v>Dapodik; school NPSN</x:v>
      </x:c>
      <x:c r="D7" s="46" t="str">
        <x:v>Critical</x:v>
      </x:c>
      <x:c r="E7" s="46" t="str">
        <x:v>Physical presence alone cannot set project priorities</x:v>
      </x:c>
    </x:row>
    <x:row r="8" ht="25" customHeight="1">
      <x:c r="A8" t="str">
        <x:v>G07</x:v>
      </x:c>
      <x:c r="B8" t="str">
        <x:v>Education transport annual per village and boarding alternative costs</x:v>
      </x:c>
      <x:c r="C8" t="str">
        <x:v>Kukar Disdikbud; local cost survey</x:v>
      </x:c>
      <x:c r="D8" t="str">
        <x:v>High</x:v>
      </x:c>
      <x:c r="E8" t="str">
        <x:v>Need programmatic needs not just elite new schools</x:v>
      </x:c>
    </x:row>
    <x:row r="9" ht="25" customHeight="1">
      <x:c r="A9" s="46" t="str">
        <x:v>G08</x:v>
      </x:c>
      <x:c r="B9" s="46" t="str">
        <x:v>CSR/PPM Bayan program spending and impact by Tabang village</x:v>
      </x:c>
      <x:c r="C9" s="46" t="str">
        <x:v>Bayan; ESDM PPM</x:v>
      </x:c>
      <x:c r="D9" s="46" t="str">
        <x:v>Critical</x:v>
      </x:c>
      <x:c r="E9" s="46" t="str">
        <x:v>Cannot directly attribute national PPM to Tabang</x:v>
      </x:c>
    </x:row>
    <x:row r="10" ht="25" customHeight="1">
      <x:c r="A10" t="str">
        <x:v>G09</x:v>
      </x:c>
      <x:c r="B10" t="str">
        <x:v>NUS/NTU disbursement and beneficiary data by origin</x:v>
      </x:c>
      <x:c r="C10" t="str">
        <x:v>NUS LKYSPP; NTU; foundation</x:v>
      </x:c>
      <x:c r="D10" t="str">
        <x:v>High</x:v>
      </x:c>
      <x:c r="E10" t="str">
        <x:v>Distinguish Singapore institution from Singaporean citizen beneficiaries</x:v>
      </x:c>
    </x:row>
    <x:row r="11" ht="25" customHeight="1">
      <x:c r="A11" s="46" t="str">
        <x:v>G10</x:v>
      </x:c>
      <x:c r="B11" s="46" t="str">
        <x:v>Attributable value of Low share gift and real cash divestment</x:v>
      </x:c>
      <x:c r="C11" s="46" t="str">
        <x:v>Bayan; BEI; KSEI</x:v>
      </x:c>
      <x:c r="D11" s="46" t="str">
        <x:v>High</x:v>
      </x:c>
      <x:c r="E11" s="46" t="str">
        <x:v>Market value stock gift not transferable fiscal appropriation</x:v>
      </x:c>
    </x:row>
    <x:row r="12" ht="25" customHeight="1">
      <x:c r="A12" t="str">
        <x:v>G11</x:v>
      </x:c>
      <x:c r="B12" t="str">
        <x:v>Annual budget reconciliations to Kemenkeu APBN enacted 2026</x:v>
      </x:c>
      <x:c r="C12" t="str">
        <x:v>Kemenkeu; APBN 2026</x:v>
      </x:c>
      <x:c r="D12" t="str">
        <x:v>Medium</x:v>
      </x:c>
      <x:c r="E12" t="str">
        <x:v>RAPBN may differ from enacted/revised appropriation</x:v>
      </x:c>
    </x:row>
    <x:row r="13" ht="25" customHeight="1">
      <x:c r="A13" s="46" t="str">
        <x:v>G12</x:v>
      </x:c>
      <x:c r="B13" s="46" t="str">
        <x:v>Upgrade existing SD/SMP models based on verified local RAB projects</x:v>
      </x:c>
      <x:c r="C13" s="46" t="str">
        <x:v>Kukar Disdikbud; LPSE</x:v>
      </x:c>
      <x:c r="D13" s="46" t="str">
        <x:v>High</x:v>
      </x:c>
      <x:c r="E13" s="46" t="str">
        <x:v>2025 mean SD revitalization is inadequate for single-school cost predictions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1" hidden="0" customWidth="1"/>
    <x:col min="3" max="3" width="68" hidden="0" customWidth="1"/>
    <x:col min="4" max="4" width="17" hidden="0" customWidth="1"/>
    <x:col min="5" max="5" width="86" hidden="0" customWidth="1"/>
    <x:col min="6" max="6" width="100" hidden="0" customWidth="1"/>
    <x:col min="7" max="7" width="12" hidden="0" customWidth="1"/>
  </x:cols>
  <x:sheetData>
    <x:row r="1" ht="34" customHeight="1">
      <x:c r="A1" s="43" t="str">
        <x:v>source_id</x:v>
      </x:c>
      <x:c r="B1" s="43" t="str">
        <x:v>institution</x:v>
      </x:c>
      <x:c r="C1" s="43" t="str">
        <x:v>title</x:v>
      </x:c>
      <x:c r="D1" s="43" t="str">
        <x:v>date</x:v>
      </x:c>
      <x:c r="E1" s="43" t="str">
        <x:v>url</x:v>
      </x:c>
      <x:c r="F1" s="43" t="str">
        <x:v>supports_and_limitations</x:v>
      </x:c>
      <x:c r="G1" s="43" t="str">
        <x:v>evidence_grade</x:v>
      </x:c>
    </x:row>
    <x:row r="2" ht="25" customHeight="1">
      <x:c r="A2" t="str">
        <x:v>S01</x:v>
      </x:c>
      <x:c r="B2" t="str">
        <x:v>Kemenkeu</x:v>
      </x:c>
      <x:c r="C2" t="str">
        <x:v>Nota Keuangan RAPBN 2026 Buku II p.3-32</x:v>
      </x:c>
      <x:c r="D2" t="str">
        <x:v>2025-08</x:v>
      </x:c>
      <x:c r="E2" t="str">
        <x:v>https://anggaran.kemenkeu.go.id/api/Medias/3e021dbf-3aae-47b3-9557-a8014ebf90e2</x:v>
      </x:c>
      <x:c r="F2" t="str">
        <x:v>Rp3 triliun untuk 9 lokasi; bukan biaya penuh sekolah; PDF p131 index</x:v>
      </x:c>
      <x:c r="G2" t="str">
        <x:v>A</x:v>
      </x:c>
    </x:row>
    <x:row r="3" ht="25" customHeight="1">
      <x:c r="A3" s="46" t="str">
        <x:v>S02</x:v>
      </x:c>
      <x:c r="B3" s="46" t="str">
        <x:v>Kemendiktisaintek via detikEdu</x:v>
      </x:c>
      <x:c r="C3" s="46" t="str">
        <x:v>Pernyataan Direktur SSPT SMA Unggul Garuda Baru</x:v>
      </x:c>
      <x:c r="D3" s="46" t="str">
        <x:v>2026-02-18</x:v>
      </x:c>
      <x:c r="E3" s="46" t="str">
        <x:v>https://www.detik.com/edu/sekolah/d-8360963/dibuka-mei-2026-pembangunan-sma-unggul-garuda-baru-telan-rp-200-m-per-sekolah</x:v>
      </x:c>
      <x:c r="F3" s="46" t="str">
        <x:v>Sekitar Rp200 miliar per sekolah pembangunan fisik; cost may vary; bukan operasional</x:v>
      </x:c>
      <x:c r="G3" s="46" t="str">
        <x:v>B</x:v>
      </x:c>
    </x:row>
    <x:row r="4" ht="25" customHeight="1">
      <x:c r="A4" t="str">
        <x:v>S03</x:v>
      </x:c>
      <x:c r="B4" t="str">
        <x:v>Sekretariat Negara</x:v>
      </x:c>
      <x:c r="C4" t="str">
        <x:v>Pernyataan biaya Garuda 2025 NTT</x:v>
      </x:c>
      <x:c r="D4" t="str">
        <x:v>2025-06-29</x:v>
      </x:c>
      <x:c r="E4" t="str">
        <x:v>https://www.antaranews.com/berita/4936689/gubernur-ntt-ajak-semua-pihak-dukung-pembangunan-sekolah-garuda-di-tts</x:v>
      </x:c>
      <x:c r="F4" t="str">
        <x:v>Wamendikti Rp233 miliar biaya gedung dan infrastruktur TTS; belum operasional; 160 siswa per angkatan</x:v>
      </x:c>
      <x:c r="G4" t="str">
        <x:v>B</x:v>
      </x:c>
    </x:row>
    <x:row r="5" ht="25" customHeight="1">
      <x:c r="A5" s="46" t="str">
        <x:v>S04</x:v>
      </x:c>
      <x:c r="B5" s="46" t="str">
        <x:v>TenderKita/LPSE index</x:v>
      </x:c>
      <x:c r="C5" s="46" t="str">
        <x:v>Pagu tender Sekolah Garuda Sulawesi Tenggara</x:v>
      </x:c>
      <x:c r="D5" s="46" t="str">
        <x:v>2025-11-28</x:v>
      </x:c>
      <x:c r="E5" s="46" t="str">
        <x:v>https://tenderkita.com/tender/pengadaan-konstruksi-pembangunan-sma-unggul-garuda-baru-prov-sulawesi-tenggara/</x:v>
      </x:c>
      <x:c r="F5" s="46" t="str">
        <x:v>Pagu tender Rp218.167 miliar, bukan nilai kontrak atau cost final; validasi LPSE saat rilis</x:v>
      </x:c>
      <x:c r="G5" s="46" t="str">
        <x:v>B</x:v>
      </x:c>
    </x:row>
    <x:row r="6" ht="25" customHeight="1">
      <x:c r="A6" t="str">
        <x:v>S05</x:v>
      </x:c>
      <x:c r="B6" t="str">
        <x:v>DataLPSE/LPSE index</x:v>
      </x:c>
      <x:c r="C6" t="str">
        <x:v>Pagu tender Sekolah Garuda Kalimantan Utara</x:v>
      </x:c>
      <x:c r="D6" t="str">
        <x:v>2025-12-11</x:v>
      </x:c>
      <x:c r="E6" t="str">
        <x:v>https://www.datalpse.com/lelang/10100811000-pengadaan-pekerjaan-konstruksi-pembangunan-sma-unggul-garuda-provinsi-kalimantan-utara</x:v>
      </x:c>
      <x:c r="F6" t="str">
        <x:v>Pagu tender Rp297.121 miliar; kemungkinan penyesuaian lingkup; validasi tender akhir</x:v>
      </x:c>
      <x:c r="G6" t="str">
        <x:v>B</x:v>
      </x:c>
    </x:row>
    <x:row r="7" ht="25" customHeight="1">
      <x:c r="A7" s="46" t="str">
        <x:v>S06</x:v>
      </x:c>
      <x:c r="B7" s="46" t="str">
        <x:v>Kemdiktisaintek</x:v>
      </x:c>
      <x:c r="C7" s="46" t="str">
        <x:v>Portal resmi Sekolah Garuda: kuota 160 per sekolah TA2026</x:v>
      </x:c>
      <x:c r="D7" s="46" t="n">
        <x:v>2026</x:v>
      </x:c>
      <x:c r="E7" s="46" t="str">
        <x:v>https://sekolahgaruda.kemdiktisaintek.go.id/</x:v>
      </x:c>
      <x:c r="F7" s="46" t="str">
        <x:v>4 sekolah x 160 siswa = 640 kuota tahun pertama; 480 siswa pada 3 angkatan adalah asumsi keadaan matang</x:v>
      </x:c>
      <x:c r="G7" s="46" t="str">
        <x:v>A</x:v>
      </x:c>
    </x:row>
    <x:row r="8" ht="25" customHeight="1">
      <x:c r="A8" t="str">
        <x:v>S07</x:v>
      </x:c>
      <x:c r="B8" t="str">
        <x:v>NUS</x:v>
      </x:c>
      <x:c r="C8" t="str">
        <x:v>Low Tuck Kwong Foundation gift S$101 million</x:v>
      </x:c>
      <x:c r="D8" t="str">
        <x:v>2023-02-22</x:v>
      </x:c>
      <x:c r="E8" t="str">
        <x:v>https://news.nus.edu.sg/lee-kuan-yew-school-of-public-policy-sets-up-new-fund-and-scholarship-through-generous-s101m-gift-from-the-low-tuck-kwong-foundation/</x:v>
      </x:c>
      <x:c r="F8" t="str">
        <x:v>S$101 juta received donation; manfaat regional dan Singapore policy hub</x:v>
      </x:c>
      <x:c r="G8" t="str">
        <x:v>A</x:v>
      </x:c>
    </x:row>
    <x:row r="9" ht="25" customHeight="1">
      <x:c r="A9" s="46" t="str">
        <x:v>S08</x:v>
      </x:c>
      <x:c r="B9" s="46" t="str">
        <x:v>SGDIDR historical rate</x:v>
      </x:c>
      <x:c r="C9" s="46" t="str">
        <x:v>Rate observed for 2023-02-22 from currency rate source</x:v>
      </x:c>
      <x:c r="D9" s="46" t="str">
        <x:v>2023-02-22</x:v>
      </x:c>
      <x:c r="E9" s="46" t="str">
        <x:v>https://www.bi.go.id/id/statistik/informasi-kurs/transaksi-bi/default.aspx</x:v>
      </x:c>
      <x:c r="F9" s="46" t="str">
        <x:v>Historical indicative SGD/IDR 11,302.2 used for conversion, reference rate; different provider/time may differ</x:v>
      </x:c>
      <x:c r="G9" s="46" t="str">
        <x:v>B</x:v>
      </x:c>
    </x:row>
    <x:row r="10" ht="25" customHeight="1">
      <x:c r="A10" t="str">
        <x:v>S09</x:v>
      </x:c>
      <x:c r="B10" t="str">
        <x:v>NTU</x:v>
      </x:c>
      <x:c r="C10" t="str">
        <x:v>Foundation gift S$8m to NTU, S$6m SG students S$2m Indonesia</x:v>
      </x:c>
      <x:c r="D10" t="str">
        <x:v>2025-03-14</x:v>
      </x:c>
      <x:c r="E10" t="str">
        <x:v>https://www.ntu.edu.sg/giving/news-and-stories/detail/low-tuck-kwong-foundation-gifts-sgd8-million-to-enhance-accessible-education-and-develop-talent</x:v>
      </x:c>
      <x:c r="F10" t="str">
        <x:v>SGD 8m commitment not necessarily fully disbursed</x:v>
      </x:c>
      <x:c r="G10" t="str">
        <x:v>A</x:v>
      </x:c>
    </x:row>
    <x:row r="11" ht="25" customHeight="1">
      <x:c r="A11" s="46" t="str">
        <x:v>S10</x:v>
      </x:c>
      <x:c r="B11" s="46" t="str">
        <x:v>Bayan AR 2024</x:v>
      </x:c>
      <x:c r="C11" s="46" t="str">
        <x:v>Gift 7,333,333,700 BYAN shares</x:v>
      </x:c>
      <x:c r="D11" s="46" t="str">
        <x:v>2025-04</x:v>
      </x:c>
      <x:c r="E11" s="46" t="str">
        <x:v>https://www.bayan.com.sg/cfind/source/files/annual-report/ar-byan-2024-final-ojk.pdf</x:v>
      </x:c>
      <x:c r="F11" s="46" t="str">
        <x:v>Official quantity gifted; market value 101.845T derived using reported transaction price Rp13,888</x:v>
      </x:c>
      <x:c r="G11" s="46" t="str">
        <x:v>A/B</x:v>
      </x:c>
    </x:row>
    <x:row r="12" ht="25" customHeight="1">
      <x:c r="A12" t="str">
        <x:v>S11</x:v>
      </x:c>
      <x:c r="B12" t="str">
        <x:v>Katadata</x:v>
      </x:c>
      <x:c r="C12" t="str">
        <x:v>Gift share valuation circa Rp101.8T</x:v>
      </x:c>
      <x:c r="D12" t="str">
        <x:v>2024-08-29</x:v>
      </x:c>
      <x:c r="E12" t="str">
        <x:v>https://katadata.co.id/finansial/bursa/66d02ef95f775/low-tuck-kwong-hibahkan-7-33-miliar-saham-byan-ke-anaknya-senilai-rp-101-8-t</x:v>
      </x:c>
      <x:c r="F12" t="str">
        <x:v>Not actual cash; value depends date and price</x:v>
      </x:c>
      <x:c r="G12" t="str">
        <x:v>B</x:v>
      </x:c>
    </x:row>
    <x:row r="13" ht="25" customHeight="1">
      <x:c r="A13" s="46" t="str">
        <x:v>S12</x:v>
      </x:c>
      <x:c r="B13" s="46" t="str">
        <x:v>BPS Kukar</x:v>
      </x:c>
      <x:c r="C13" s="46" t="str">
        <x:v>Kecamatan Tabang Dalam Angka 2024, school in village</x:v>
      </x:c>
      <x:c r="D13" s="46" t="str">
        <x:v>2024-09-26</x:v>
      </x:c>
      <x:c r="E13" s="46" t="str">
        <x:v>https://kukarkab.bps.go.id/id/publication/2024/09/26/cc761d9627ae22bde5b7411e/tabang-district-in-figures-2024.html</x:v>
      </x:c>
      <x:c r="F13" s="46" t="str">
        <x:v>2023: 19 villages; SMP in 3, SMA in 2; proximity not attendance/outcome</x:v>
      </x:c>
      <x:c r="G13" s="46" t="str">
        <x:v>A</x:v>
      </x:c>
    </x:row>
    <x:row r="14" ht="25" customHeight="1">
      <x:c r="A14" t="str">
        <x:v>S13</x:v>
      </x:c>
      <x:c r="B14" t="str">
        <x:v>Kemendikdasmen</x:v>
      </x:c>
      <x:c r="C14" t="str">
        <x:v>2025 SD revitalization total Rp4.49T over 6328 SD</x:v>
      </x:c>
      <x:c r="D14" t="str">
        <x:v>2026-03-13</x:v>
      </x:c>
      <x:c r="E14" t="str">
        <x:v>https://ditsd.kemendikdasmen.go.id/artikel/detail/penerima-program-revitalisasi-wajib-kirim-laporan-pertanggungjawaban</x:v>
      </x:c>
      <x:c r="F14" t="str">
        <x:v>Illustrative mean ~=Rp709.55m per SD project; different packages cannot infer construction cost</x:v>
      </x:c>
      <x:c r="G14" t="str">
        <x:v>A</x:v>
      </x:c>
    </x:row>
    <x:row r="15" ht="25" customHeight="1">
      <x:c r="A15" s="46" t="str">
        <x:v>S14</x:v>
      </x:c>
      <x:c r="B15" s="46" t="str">
        <x:v>Kemendiktisaintek via ANTARA</x:v>
      </x:c>
      <x:c r="C15" s="46" t="str">
        <x:v>Endowment part of Garuda budget 2025</x:v>
      </x:c>
      <x:c r="D15" s="46" t="str">
        <x:v>2025-09-22</x:v>
      </x:c>
      <x:c r="E15" s="46" t="str">
        <x:v>https://www.antaranews.com/berita/5126788/kemendiktisaintek-siapkan-dana-abadi-guna-keberlanjutan-sekolah-garuda</x:v>
      </x:c>
      <x:c r="F15" s="46" t="str">
        <x:v>Almost half Rp2T 2025 set aside for endowment, confirms budget per 9 sites not construction per school</x:v>
      </x:c>
      <x:c r="G15" s="46" t="str">
        <x:v>B</x:v>
      </x:c>
    </x:row>
    <x:row r="16" ht="25" customHeight="1">
      <x:c r="A16" t="str">
        <x:v>S15</x:v>
      </x:c>
      <x:c r="B16" t="str">
        <x:v>Bayan Sustainability Report 2025</x:v>
      </x:c>
      <x:c r="C16" t="str">
        <x:v>PPM Education 2022-2025 from prior Kalcer stage 6</x:v>
      </x:c>
      <x:c r="D16" t="n">
        <x:v>2025</x:v>
      </x:c>
      <x:c r="E16" t="str">
        <x:v>https://www.bayan.com.sg/cfind/source/files/annual-report/sustanaibility-report/sustainability-report-byan-2025-ojk.pdf</x:v>
      </x:c>
      <x:c r="F16" t="str">
        <x:v>Rp33.52B 2022-25 education PPM across mining operation regions; not Tabang only</x:v>
      </x:c>
      <x:c r="G16" t="str">
        <x:v>A</x:v>
      </x:c>
    </x:row>
    <x:row r="17" ht="25" customHeight="1">
      <x:c r="A17" s="46" t="str">
        <x:v>S16</x:v>
      </x:c>
      <x:c r="B17" s="46" t="str">
        <x:v>University donations / previous stage 5</x:v>
      </x:c>
      <x:c r="C17" s="46" t="str">
        <x:v>Low personal endowments ITB UGM UI</x:v>
      </x:c>
      <x:c r="D17" s="46" t="str">
        <x:v>2019-2022</x:v>
      </x:c>
      <x:c r="E17" s="46" t="str">
        <x:v>https://ugm.ac.id/id/berita/20523-ugm-terima-dana-abadi-untuk-beasiswa-pendidikan/</x:v>
      </x:c>
      <x:c r="F17" s="46" t="str">
        <x:v>Total 200B IDR historical with ITB UI reports; not necessarily all operational school funding</x:v>
      </x:c>
      <x:c r="G17" s="46" t="str">
        <x:v>B</x:v>
      </x:c>
    </x:row>
    <x:row r="18" ht="25" customHeight="1">
      <x:c r="A18" t="str">
        <x:v>S17</x:v>
      </x:c>
      <x:c r="B18" t="str">
        <x:v>FX rate model</x:v>
      </x:c>
      <x:c r="C18" t="str">
        <x:v>SGD/IDR approximation for 2025-03-14</x:v>
      </x:c>
      <x:c r="D18" t="str">
        <x:v>2025-03-14</x:v>
      </x:c>
      <x:c r="E18" t="str">
        <x:v>https://www.bi.go.id/id/statistik/informasi-kurs/transaksi-bi/default.aspx</x:v>
      </x:c>
      <x:c r="F18" t="str">
        <x:v>Historical SGD/IDR 12,201.7 indicative; derived from previous stage 5; not same as today</x:v>
      </x:c>
      <x:c r="G18" t="str">
        <x:v>B</x:v>
      </x:c>
    </x:row>
    <x:row r="19" ht="25" customHeight="1">
      <x:c r="A19" s="46" t="str">
        <x:v>S18</x:v>
      </x:c>
      <x:c r="B19" s="46" t="str">
        <x:v>Medcom</x:v>
      </x:c>
      <x:c r="C19" s="46" t="str">
        <x:v>Garuda 200B physical building excludes asrama and operational</x:v>
      </x:c>
      <x:c r="D19" s="46" t="str">
        <x:v>2026-02-18</x:v>
      </x:c>
      <x:c r="E19" s="46" t="str">
        <x:v>https://www.medcom.id/pendidikan/news-pendidikan/GNGGLrQN-biaya-pembangunan-sma-unggul-garuda-baru-capai-rp200-miliar-kemendiktisaintek-itu-baru-bangunannya-saja</x:v>
      </x:c>
      <x:c r="F19" s="46" t="str">
        <x:v>Some facilities may not be in core 200B; verify bill of quantities per tender</x:v>
      </x:c>
      <x:c r="G19" s="46" t="str">
        <x:v>B</x:v>
      </x:c>
    </x:row>
  </x:sheetData>
  <x:pageMargins left="0.7" right="0.7" top="0.75" bottom="0.75" header="0.3" footer="0.3"/>
</x:worksheet>
</file>