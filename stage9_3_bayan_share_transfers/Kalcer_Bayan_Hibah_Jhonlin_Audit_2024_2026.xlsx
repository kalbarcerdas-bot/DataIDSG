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9d192b774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48846e626c4160"/>
    <x:sheet xmlns:r="http://schemas.openxmlformats.org/officeDocument/2006/relationships" name="Transactions" sheetId="2" r:id="Raa1e93cd0cf34651"/>
    <x:sheet xmlns:r="http://schemas.openxmlformats.org/officeDocument/2006/relationships" name="Ownership" sheetId="3" r:id="R1f1255a2d1b84805"/>
    <x:sheet xmlns:r="http://schemas.openxmlformats.org/officeDocument/2006/relationships" name="Key Metrics" sheetId="4" r:id="Ra4b267180e6c49fa"/>
    <x:sheet xmlns:r="http://schemas.openxmlformats.org/officeDocument/2006/relationships" name="Open Questions" sheetId="5" r:id="R4a202fa73f604968"/>
    <x:sheet xmlns:r="http://schemas.openxmlformats.org/officeDocument/2006/relationships" name="Sources" sheetId="6" r:id="R350e580b73d5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[Red](#,##0);-"/>
    <x:numFmt numFmtId="201" formatCode="#,##0.0000;[Red](#,##0.0000);-"/>
    <x:numFmt numFmtId="202" formatCode="0.0000&quot;%&quot;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67D88"/>
      <x:name val="Carlito"/>
    </x:font>
    <x:font>
      <x:b/>
      <x:sz val="11"/>
      <x:color rgb="FFFFFFFF"/>
      <x:name val="Carlito"/>
    </x:font>
    <x:font>
      <x:b/>
      <x:sz val="11"/>
      <x:color rgb="FF92400E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63B"/>
      </x:patternFill>
    </x:fill>
    <x:fill>
      <x:patternFill patternType="solid">
        <x:fgColor rgb="FFECF4F6"/>
      </x:patternFill>
    </x:fill>
    <x:fill>
      <x:patternFill patternType="solid">
        <x:fgColor rgb="FF167D88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b62c1488d47cc" /><Relationship Type="http://schemas.openxmlformats.org/officeDocument/2006/relationships/theme" Target="/xl/theme/theme1.xml" Id="Rc22a88bf3dba4e37" /><Relationship Type="http://schemas.openxmlformats.org/officeDocument/2006/relationships/sharedStrings" Target="/xl/sharedStrings.xml" Id="R451d5e3597204785" /><Relationship Type="http://schemas.openxmlformats.org/officeDocument/2006/relationships/worksheet" Target="/xl/worksheets/sheet1.xml" Id="R1e48846e626c4160" /><Relationship Type="http://schemas.openxmlformats.org/officeDocument/2006/relationships/worksheet" Target="/xl/worksheets/sheet2.xml" Id="Raa1e93cd0cf34651" /><Relationship Type="http://schemas.openxmlformats.org/officeDocument/2006/relationships/worksheet" Target="/xl/worksheets/sheet3.xml" Id="R1f1255a2d1b84805" /><Relationship Type="http://schemas.openxmlformats.org/officeDocument/2006/relationships/worksheet" Target="/xl/worksheets/sheet4.xml" Id="Ra4b267180e6c49fa" /><Relationship Type="http://schemas.openxmlformats.org/officeDocument/2006/relationships/worksheet" Target="/xl/worksheets/sheet5.xml" Id="R4a202fa73f604968" /><Relationship Type="http://schemas.openxmlformats.org/officeDocument/2006/relationships/worksheet" Target="/xl/worksheets/sheet6.xml" Id="R350e580b73d549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29" hidden="0" customWidth="1"/>
    <x:col min="3" max="3" width="13" hidden="0" customWidth="1"/>
    <x:col min="4" max="4" width="50" hidden="0" customWidth="1"/>
    <x:col min="5" max="5" width="26" hidden="0" customWidth="1"/>
    <x:col min="6" max="6" width="10" hidden="0" customWidth="1"/>
    <x:col min="7" max="7" width="10" hidden="0" customWidth="1"/>
    <x:col min="8" max="8" width="10" hidden="0" customWidth="1"/>
  </x:cols>
  <x:sheetData>
    <x:row r="1" ht="28" customHeight="1">
      <x:c r="A1" s="4" t="str">
        <x:v>KALCER | RISET 9.3 — BAYAN SHARE TRANSFERS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4"/>
      <x:c r="B2" s="4"/>
      <x:c r="C2" s="4"/>
      <x:c r="D2" s="4"/>
      <x:c r="E2" s="4"/>
      <x:c r="F2" s="4"/>
      <x:c r="G2" s="4"/>
      <x:c r="H2" s="4"/>
    </x:row>
    <x:row r="4" ht="27" customHeight="1">
      <x:c r="A4" s="9" t="str">
        <x:v>Three different economic phenomena — gift valuation ≠ gross sale ≠ cross-border cash</x:v>
      </x:c>
      <x:c r="B4" s="9"/>
      <x:c r="C4" s="9"/>
      <x:c r="D4" s="9"/>
      <x:c r="E4" s="9"/>
      <x:c r="F4" s="9"/>
      <x:c r="G4" s="9"/>
      <x:c r="H4" s="9"/>
    </x:row>
    <x:row r="6" ht="27" customHeight="1">
      <x:c r="A6" s="13" t="str">
        <x:v>KPI</x:v>
      </x:c>
      <x:c r="B6" s="13" t="str">
        <x:v>Number</x:v>
      </x:c>
      <x:c r="C6" s="13" t="str">
        <x:v>Unit</x:v>
      </x:c>
      <x:c r="D6" s="13" t="str">
        <x:v>Meaning / caution</x:v>
      </x:c>
      <x:c r="E6" s="13" t="str">
        <x:v>Evidence</x:v>
      </x:c>
      <x:c r="F6" s="13" t="str"/>
      <x:c r="G6" s="13" t="str"/>
      <x:c r="H6" s="13" t="str"/>
    </x:row>
    <x:row r="7" ht="34" customHeight="1">
      <x:c r="A7" s="16" t="str">
        <x:v>2024 gifted shares</x:v>
      </x:c>
      <x:c r="B7" s="18" t="n">
        <x:v>7333333700</x:v>
      </x:c>
      <x:c r="C7" s="16" t="str">
        <x:v>shares</x:v>
      </x:c>
      <x:c r="D7" s="16" t="str">
        <x:v>Gift to Elaine: asset ownership, not cash</x:v>
      </x:c>
      <x:c r="E7" s="16" t="str">
        <x:v>AR2024 p64</x:v>
      </x:c>
      <x:c r="F7" s="16" t="str"/>
      <x:c r="G7" s="16" t="str"/>
      <x:c r="H7" s="16" t="str"/>
    </x:row>
    <x:row r="8" ht="34" customHeight="1">
      <x:c r="A8" s="16" t="str">
        <x:v>2024 notional crossing value</x:v>
      </x:c>
      <x:c r="B8" s="18" t="n">
        <x:v>101845338425600</x:v>
      </x:c>
      <x:c r="C8" s="16" t="str">
        <x:v>IDR</x:v>
      </x:c>
      <x:c r="D8" s="16" t="str">
        <x:v>Value at reported Rp13,888; alternative press quote exists; NOT cash</x:v>
      </x:c>
      <x:c r="E8" s="16" t="str">
        <x:v>Media; disputed quote</x:v>
      </x:c>
      <x:c r="F8" s="16" t="str"/>
      <x:c r="G8" s="16" t="str"/>
      <x:c r="H8" s="16" t="str"/>
    </x:row>
    <x:row r="9" ht="34" customHeight="1">
      <x:c r="A9" s="16" t="str">
        <x:v>7 Oct 2026 Jhonlin shares</x:v>
      </x:c>
      <x:c r="B9" s="18" t="n">
        <x:v>10084088370</x:v>
      </x:c>
      <x:c r="C9" s="16" t="str">
        <x:v>shares</x:v>
      </x:c>
      <x:c r="D9" s="16" t="str">
        <x:v>Of 33,333,335,000 issued</x:v>
      </x:c>
      <x:c r="E9" s="16" t="str">
        <x:v>Issuer reported closing</x:v>
      </x:c>
      <x:c r="F9" s="16" t="str"/>
      <x:c r="G9" s="16" t="str"/>
      <x:c r="H9" s="16" t="str"/>
    </x:row>
    <x:row r="10" ht="34" customHeight="1">
      <x:c r="A10" s="16" t="str">
        <x:v>7 Oct 2026 gross sale</x:v>
      </x:c>
      <x:c r="B10" s="18" t="n">
        <x:v>26097620701560</x:v>
      </x:c>
      <x:c r="C10" s="16" t="str">
        <x:v>IDR</x:v>
      </x:c>
      <x:c r="D10" s="16" t="str">
        <x:v>At Rp2,588/share; not net bank transfer</x:v>
      </x:c>
      <x:c r="E10" s="16" t="str">
        <x:v>Reported disclosures</x:v>
      </x:c>
      <x:c r="F10" s="16" t="str"/>
      <x:c r="G10" s="16" t="str"/>
      <x:c r="H10" s="16" t="str"/>
    </x:row>
    <x:row r="11" ht="34" customHeight="1">
      <x:c r="A11" s="16" t="str">
        <x:v>15 Oct 2026 later shares</x:v>
      </x:c>
      <x:c r="B11" s="18" t="n">
        <x:v>666666700</x:v>
      </x:c>
      <x:c r="C11" s="16" t="str">
        <x:v>shares</x:v>
      </x:c>
      <x:c r="D11" s="16" t="str">
        <x:v>Buyer still unverified</x:v>
      </x:c>
      <x:c r="E11" s="16" t="str">
        <x:v>Holder change reports</x:v>
      </x:c>
      <x:c r="F11" s="16" t="str"/>
      <x:c r="G11" s="16" t="str"/>
      <x:c r="H11" s="16" t="str"/>
    </x:row>
    <x:row r="12" ht="34" customHeight="1">
      <x:c r="A12" s="16" t="str">
        <x:v>15 Oct 2026 gross sale</x:v>
      </x:c>
      <x:c r="B12" s="18" t="n">
        <x:v>1725333419600</x:v>
      </x:c>
      <x:c r="C12" s="16" t="str">
        <x:v>IDR</x:v>
      </x:c>
      <x:c r="D12" s="16" t="str">
        <x:v>At Rp2,588/share; not confirmed buyer</x:v>
      </x:c>
      <x:c r="E12" s="16" t="str">
        <x:v>Reported disclosures</x:v>
      </x:c>
      <x:c r="F12" s="16" t="str"/>
      <x:c r="G12" s="16" t="str"/>
      <x:c r="H12" s="16" t="str"/>
    </x:row>
    <x:row r="13" ht="34" customHeight="1">
      <x:c r="A13" s="16" t="str">
        <x:v>19 Oct 2026 Low holding</x:v>
      </x:c>
      <x:c r="B13" s="18" t="n">
        <x:v>2766667800</x:v>
      </x:c>
      <x:c r="C13" s="16" t="str">
        <x:v>shares</x:v>
      </x:c>
      <x:c r="D13" s="16" t="str">
        <x:v>8.30% BYAN</x:v>
      </x:c>
      <x:c r="E13" s="16" t="str">
        <x:v>KSEI quoted by Bayan</x:v>
      </x:c>
      <x:c r="F13" s="16" t="str"/>
      <x:c r="G13" s="16" t="str"/>
      <x:c r="H13" s="16" t="str"/>
    </x:row>
    <x:row r="14" ht="34" customHeight="1">
      <x:c r="A14" s="16" t="str">
        <x:v>19 Oct 2026 Elaine holding</x:v>
      </x:c>
      <x:c r="B14" s="18" t="n">
        <x:v>7333833700</x:v>
      </x:c>
      <x:c r="C14" s="16" t="str">
        <x:v>shares</x:v>
      </x:c>
      <x:c r="D14" s="16" t="str">
        <x:v>22.00% BYAN</x:v>
      </x:c>
      <x:c r="E14" s="16" t="str">
        <x:v>KSEI quoted by Bayan</x:v>
      </x:c>
      <x:c r="F14" s="16" t="str"/>
      <x:c r="G14" s="16" t="str"/>
      <x:c r="H14" s="16" t="str"/>
    </x:row>
    <x:row r="15" ht="34" customHeight="1">
      <x:c r="A15" s="16" t="str">
        <x:v>19 Oct 2026 Jhonlin holding</x:v>
      </x:c>
      <x:c r="B15" s="18" t="n">
        <x:v>10084088370</x:v>
      </x:c>
      <x:c r="C15" s="16" t="str">
        <x:v>shares</x:v>
      </x:c>
      <x:c r="D15" s="16" t="str">
        <x:v>30.25% BYAN</x:v>
      </x:c>
      <x:c r="E15" s="16" t="str">
        <x:v>KSEI quoted by Bayan</x:v>
      </x:c>
      <x:c r="F15" s="16" t="str"/>
      <x:c r="G15" s="16" t="str"/>
      <x:c r="H15" s="16" t="str"/>
    </x:row>
    <x:row r="17" ht="25" customHeight="1">
      <x:c r="A17" s="22" t="str">
        <x:v>CAUTION: No evidence here of foreign bank transfer, unlawful tax treatment, definitive control change or buyer identity for 15 Oct.</x:v>
      </x:c>
      <x:c r="B17" s="22"/>
      <x:c r="C17" s="22"/>
      <x:c r="D17" s="22"/>
      <x:c r="E17" s="22"/>
      <x:c r="F17" s="22"/>
      <x:c r="G17" s="22"/>
      <x:c r="H17" s="22"/>
    </x:row>
    <x:row r="18" ht="25" customHeight="1">
      <x:c r="A18" s="22"/>
      <x:c r="B18" s="22"/>
      <x:c r="C18" s="22"/>
      <x:c r="D18" s="22"/>
      <x:c r="E18" s="22"/>
      <x:c r="F18" s="22"/>
      <x:c r="G18" s="22"/>
      <x:c r="H18" s="22"/>
    </x:row>
  </x:sheetData>
  <x:mergeCells>
    <x:mergeCell ref="A1:H2"/>
    <x:mergeCell ref="A4:H4"/>
    <x:mergeCell ref="A17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6" hidden="0" customWidth="1"/>
    <x:col min="3" max="3" width="23" hidden="0" customWidth="1"/>
    <x:col min="4" max="4" width="26" hidden="0" customWidth="1"/>
    <x:col min="5" max="5" width="30" hidden="0" customWidth="1"/>
    <x:col min="6" max="6" width="22" hidden="0" customWidth="1"/>
    <x:col min="7" max="7" width="23" hidden="0" customWidth="1"/>
    <x:col min="8" max="8" width="27" hidden="0" customWidth="1"/>
    <x:col min="9" max="9" width="21" hidden="0" customWidth="1"/>
    <x:col min="10" max="10" width="26" hidden="0" customWidth="1"/>
    <x:col min="11" max="11" width="43" hidden="0" customWidth="1"/>
    <x:col min="12" max="12" width="34" hidden="0" customWidth="1"/>
    <x:col min="13" max="13" width="52" hidden="0" customWidth="1"/>
    <x:col min="14" max="14" width="18" hidden="0" customWidth="1"/>
  </x:cols>
  <x:sheetData>
    <x:row r="1" ht="34" customHeight="1">
      <x:c r="A1" s="28" t="str">
        <x:v>event_id</x:v>
      </x:c>
      <x:c r="B1" s="28" t="str">
        <x:v>event_date</x:v>
      </x:c>
      <x:c r="C1" s="28" t="str">
        <x:v>event_type</x:v>
      </x:c>
      <x:c r="D1" s="28" t="str">
        <x:v>seller</x:v>
      </x:c>
      <x:c r="E1" s="28" t="str">
        <x:v>buyer_or_recipient</x:v>
      </x:c>
      <x:c r="F1" s="28" t="str">
        <x:v>shares</x:v>
      </x:c>
      <x:c r="G1" s="28" t="str">
        <x:v>reported_price_idr_per_share</x:v>
      </x:c>
      <x:c r="H1" s="28" t="str">
        <x:v>price_times_shares_idr</x:v>
      </x:c>
      <x:c r="I1" s="28" t="str">
        <x:v>price_times_shares_trillion_idr</x:v>
      </x:c>
      <x:c r="J1" s="28" t="str">
        <x:v>evidence_status</x:v>
      </x:c>
      <x:c r="K1" s="28" t="str">
        <x:v>document_basis</x:v>
      </x:c>
      <x:c r="L1" s="28" t="str">
        <x:v>source_ids</x:v>
      </x:c>
      <x:c r="M1" s="28" t="str">
        <x:v>cautions</x:v>
      </x:c>
      <x:c r="N1" s="28" t="str">
        <x:v>group_id</x:v>
      </x:c>
    </x:row>
    <x:row r="2" ht="32" customHeight="1">
      <x:c r="A2" s="32" t="str">
        <x:v>EV01</x:v>
      </x:c>
      <x:c r="B2" s="32" t="str">
        <x:v>2024-08-28</x:v>
      </x:c>
      <x:c r="C2" s="32" t="str">
        <x:v>gift_intragroup</x:v>
      </x:c>
      <x:c r="D2" s="32" t="str">
        <x:v>Low Tuck Kwong</x:v>
      </x:c>
      <x:c r="E2" s="32" t="str">
        <x:v>Elaine Low</x:v>
      </x:c>
      <x:c r="F2" s="34" t="n">
        <x:v>7333333700</x:v>
      </x:c>
      <x:c r="G2" s="34" t="n">
        <x:v>13888</x:v>
      </x:c>
      <x:c r="H2" s="34" t="n">
        <x:f>IF(G2="","",F2*G2)</x:f>
        <x:v>101845338425600</x:v>
      </x:c>
      <x:c r="I2" s="36" t="n">
        <x:f>IF(H2="","",H2/1000000000000)</x:f>
        <x:v>101.8453384256</x:v>
      </x:c>
      <x:c r="J2" s="32" t="str">
        <x:v>A quantity; B price (disputed)</x:v>
      </x:c>
      <x:c r="K2" s="32" t="str">
        <x:v>Gift declared as succession; price quoted crossing; NOT verified cash received</x:v>
      </x:c>
      <x:c r="L2" s="32" t="str">
        <x:v>AR24; GIFT_PRICE_2024; GIFT_PRICE_ALT</x:v>
      </x:c>
      <x:c r="M2" s="32" t="str">
        <x:v>Some reporting quotes Rp13,851 vs Rp13,888. Rp101.845T assumes 13,888. Gift has no confirmed cash consideration.</x:v>
      </x:c>
      <x:c r="N2" s="32" t="str">
        <x:v>GIFT</x:v>
      </x:c>
    </x:row>
    <x:row r="3" ht="32" customHeight="1">
      <x:c r="A3" s="32" t="str">
        <x:v>EV02</x:v>
      </x:c>
      <x:c r="B3" s="32" t="str">
        <x:v>2026-09-16</x:v>
      </x:c>
      <x:c r="C3" s="32" t="str">
        <x:v>conditional_sale_contract</x:v>
      </x:c>
      <x:c r="D3" s="32" t="str">
        <x:v>Low Tuck Kwong + Elaine Low</x:v>
      </x:c>
      <x:c r="E3" s="32" t="str">
        <x:v>Jhonlin Baratama</x:v>
      </x:c>
      <x:c r="F3" s="34" t="n">
        <x:v>10000000500</x:v>
      </x:c>
      <x:c r="G3" s="34" t="str"/>
      <x:c r="H3" s="34" t="str">
        <x:f>IF(G3="","",F3*G3)</x:f>
      </x:c>
      <x:c r="I3" s="36" t="str">
        <x:f>IF(H3="","",H3/1000000000000)</x:f>
      </x:c>
      <x:c r="J3" s="32" t="str">
        <x:v>B reported official filing</x:v>
      </x:c>
      <x:c r="K3" s="32" t="str">
        <x:v>Initial CSPA, not settlement</x:v>
      </x:c>
      <x:c r="L3" s="32" t="str">
        <x:v>ADDENDUM_2026</x:v>
      </x:c>
      <x:c r="M3" s="32" t="str">
        <x:v>Superseded by 1 Oct addendum</x:v>
      </x:c>
      <x:c r="N3" s="32" t="str">
        <x:v>CSPA</x:v>
      </x:c>
    </x:row>
    <x:row r="4" ht="32" customHeight="1">
      <x:c r="A4" s="32" t="str">
        <x:v>EV03</x:v>
      </x:c>
      <x:c r="B4" s="32" t="str">
        <x:v>2026-10-01</x:v>
      </x:c>
      <x:c r="C4" s="32" t="str">
        <x:v>contract_amendment</x:v>
      </x:c>
      <x:c r="D4" s="32" t="str">
        <x:v>Low Tuck Kwong + Elaine Low</x:v>
      </x:c>
      <x:c r="E4" s="32" t="str">
        <x:v>Jhonlin Baratama</x:v>
      </x:c>
      <x:c r="F4" s="34" t="n">
        <x:v>10084088370</x:v>
      </x:c>
      <x:c r="G4" s="34" t="str"/>
      <x:c r="H4" s="34" t="str">
        <x:f>IF(G4="","",F4*G4)</x:f>
      </x:c>
      <x:c r="I4" s="36" t="str">
        <x:f>IF(H4="","",H4/1000000000000)</x:f>
      </x:c>
      <x:c r="J4" s="32" t="str">
        <x:v>B reported official filing</x:v>
      </x:c>
      <x:c r="K4" s="32" t="str">
        <x:v>CSPA amended count</x:v>
      </x:c>
      <x:c r="L4" s="32" t="str">
        <x:v>ADDENDUM_2026</x:v>
      </x:c>
      <x:c r="M4" s="32" t="str">
        <x:v>Issuer learned 5 Oct and reported 6 Oct</x:v>
      </x:c>
      <x:c r="N4" s="32" t="str">
        <x:v>CSPA</x:v>
      </x:c>
    </x:row>
    <x:row r="5" ht="32" customHeight="1">
      <x:c r="A5" s="32" t="str">
        <x:v>EV04</x:v>
      </x:c>
      <x:c r="B5" s="32" t="str">
        <x:v>2026-10-06</x:v>
      </x:c>
      <x:c r="C5" s="32" t="str">
        <x:v>family_cross_sale</x:v>
      </x:c>
      <x:c r="D5" s="32" t="str">
        <x:v>Low Tuck Kwong</x:v>
      </x:c>
      <x:c r="E5" s="32" t="str">
        <x:v>Elaine Low</x:v>
      </x:c>
      <x:c r="F5" s="34" t="n">
        <x:v>33333335</x:v>
      </x:c>
      <x:c r="G5" s="34" t="n">
        <x:v>11025</x:v>
      </x:c>
      <x:c r="H5" s="34" t="n">
        <x:f>IF(G5="","",F5*G5)</x:f>
        <x:v>367500018375</x:v>
      </x:c>
      <x:c r="I5" s="36" t="n">
        <x:f>IF(H5="","",H5/1000000000000)</x:f>
        <x:v>0.367500018375</x:v>
      </x:c>
      <x:c r="J5" s="32" t="str">
        <x:v>B regulatory disclosure reported</x:v>
      </x:c>
      <x:c r="K5" s="32" t="str">
        <x:v>Price and quantity reported for matched family transfer</x:v>
      </x:c>
      <x:c r="L5" s="32" t="str">
        <x:v>6OCT26</x:v>
      </x:c>
      <x:c r="M5" s="32" t="str">
        <x:v>Internal family transfer; no group-level external sale; whether cash settled requires docs</x:v>
      </x:c>
      <x:c r="N5" s="32" t="str">
        <x:v>FAMILY</x:v>
      </x:c>
    </x:row>
    <x:row r="6" ht="32" customHeight="1">
      <x:c r="A6" s="32" t="str">
        <x:v>EV05</x:v>
      </x:c>
      <x:c r="B6" s="32" t="str">
        <x:v>2026-10-07</x:v>
      </x:c>
      <x:c r="C6" s="32" t="str">
        <x:v>negotiated_sale</x:v>
      </x:c>
      <x:c r="D6" s="32" t="str">
        <x:v>Low Tuck Kwong</x:v>
      </x:c>
      <x:c r="E6" s="32" t="str">
        <x:v>PT Jhonlin Baratama</x:v>
      </x:c>
      <x:c r="F6" s="34" t="n">
        <x:v>10067421703</x:v>
      </x:c>
      <x:c r="G6" s="34" t="n">
        <x:v>2588</x:v>
      </x:c>
      <x:c r="H6" s="34" t="n">
        <x:f>IF(G6="","",F6*G6)</x:f>
        <x:v>26054487367364</x:v>
      </x:c>
      <x:c r="I6" s="36" t="n">
        <x:f>IF(H6="","",H6/1000000000000)</x:f>
        <x:v>26.054487367364</x:v>
      </x:c>
      <x:c r="J6" s="32" t="str">
        <x:v>B disclosed deal reported</x:v>
      </x:c>
      <x:c r="K6" s="32" t="str">
        <x:v>Closing 7 Oct 2026 and stake breakdown</x:v>
      </x:c>
      <x:c r="L6" s="32" t="str">
        <x:v>CLOSING_2026; CLOSING_PRICE</x:v>
      </x:c>
      <x:c r="M6" s="32" t="str">
        <x:v>Gross not net proceeds; payment beneficiary/location unknown</x:v>
      </x:c>
      <x:c r="N6" s="32" t="str">
        <x:v>JHONLIN</x:v>
      </x:c>
    </x:row>
    <x:row r="7" ht="32" customHeight="1">
      <x:c r="A7" s="32" t="str">
        <x:v>EV06</x:v>
      </x:c>
      <x:c r="B7" s="32" t="str">
        <x:v>2026-10-07</x:v>
      </x:c>
      <x:c r="C7" s="32" t="str">
        <x:v>negotiated_sale</x:v>
      </x:c>
      <x:c r="D7" s="32" t="str">
        <x:v>Elaine Low</x:v>
      </x:c>
      <x:c r="E7" s="32" t="str">
        <x:v>PT Jhonlin Baratama</x:v>
      </x:c>
      <x:c r="F7" s="34" t="n">
        <x:v>16666667</x:v>
      </x:c>
      <x:c r="G7" s="34" t="n">
        <x:v>2588</x:v>
      </x:c>
      <x:c r="H7" s="34" t="n">
        <x:f>IF(G7="","",F7*G7)</x:f>
        <x:v>43133334196</x:v>
      </x:c>
      <x:c r="I7" s="36" t="n">
        <x:f>IF(H7="","",H7/1000000000000)</x:f>
        <x:v>0.043133334196</x:v>
      </x:c>
      <x:c r="J7" s="32" t="str">
        <x:v>B disclosed deal reported</x:v>
      </x:c>
      <x:c r="K7" s="32" t="str">
        <x:v>Closing 7 Oct 2026 and stake breakdown</x:v>
      </x:c>
      <x:c r="L7" s="32" t="str">
        <x:v>CLOSING_2026; CLOSING_PRICE</x:v>
      </x:c>
      <x:c r="M7" s="32" t="str">
        <x:v>Gross not net proceeds; payment beneficiary/location unknown</x:v>
      </x:c>
      <x:c r="N7" s="32" t="str">
        <x:v>JHONLIN</x:v>
      </x:c>
    </x:row>
    <x:row r="8" ht="32" customHeight="1">
      <x:c r="A8" s="32" t="str">
        <x:v>EV07</x:v>
      </x:c>
      <x:c r="B8" s="32" t="str">
        <x:v>2026-10-13</x:v>
      </x:c>
      <x:c r="C8" s="32" t="str">
        <x:v>negotiated_buy</x:v>
      </x:c>
      <x:c r="D8" s="32" t="str">
        <x:v>Unidentified seller</x:v>
      </x:c>
      <x:c r="E8" s="32" t="str">
        <x:v>Low Tuck Kwong</x:v>
      </x:c>
      <x:c r="F8" s="34" t="n">
        <x:v>500000</x:v>
      </x:c>
      <x:c r="G8" s="34" t="n">
        <x:v>11200</x:v>
      </x:c>
      <x:c r="H8" s="34" t="n">
        <x:f>IF(G8="","",F8*G8)</x:f>
        <x:v>5600000000</x:v>
      </x:c>
      <x:c r="I8" s="36" t="n">
        <x:f>IF(H8="","",H8/1000000000000)</x:f>
        <x:v>0.0056</x:v>
      </x:c>
      <x:c r="J8" s="32" t="str">
        <x:v>B owner notification in press</x:v>
      </x:c>
      <x:c r="K8" s="32" t="str">
        <x:v>Purchase price and quantity reported</x:v>
      </x:c>
      <x:c r="L8" s="32" t="str">
        <x:v>REBUY_2026</x:v>
      </x:c>
      <x:c r="M8" s="32" t="str">
        <x:v>Source of funds and seller unidentified</x:v>
      </x:c>
      <x:c r="N8" s="32" t="str">
        <x:v>REBUY</x:v>
      </x:c>
    </x:row>
    <x:row r="9" ht="32" customHeight="1">
      <x:c r="A9" s="32" t="str">
        <x:v>EV08</x:v>
      </x:c>
      <x:c r="B9" s="32" t="str">
        <x:v>2026-10-14</x:v>
      </x:c>
      <x:c r="C9" s="32" t="str">
        <x:v>negotiated_buy</x:v>
      </x:c>
      <x:c r="D9" s="32" t="str">
        <x:v>Unidentified seller</x:v>
      </x:c>
      <x:c r="E9" s="32" t="str">
        <x:v>Low Tuck Kwong</x:v>
      </x:c>
      <x:c r="F9" s="34" t="n">
        <x:v>100001000</x:v>
      </x:c>
      <x:c r="G9" s="34" t="n">
        <x:v>11200</x:v>
      </x:c>
      <x:c r="H9" s="34" t="n">
        <x:f>IF(G9="","",F9*G9)</x:f>
        <x:v>1120011200000</x:v>
      </x:c>
      <x:c r="I9" s="36" t="n">
        <x:f>IF(H9="","",H9/1000000000000)</x:f>
        <x:v>1.1200112</x:v>
      </x:c>
      <x:c r="J9" s="32" t="str">
        <x:v>B owner notification in press</x:v>
      </x:c>
      <x:c r="K9" s="32" t="str">
        <x:v>Purchase price and quantity reported</x:v>
      </x:c>
      <x:c r="L9" s="32" t="str">
        <x:v>REBUY_2026</x:v>
      </x:c>
      <x:c r="M9" s="32" t="str">
        <x:v>Via negotiated market according to reporting; not ordinary public-market buy</x:v>
      </x:c>
      <x:c r="N9" s="32" t="str">
        <x:v>REBUY</x:v>
      </x:c>
    </x:row>
    <x:row r="10" ht="32" customHeight="1">
      <x:c r="A10" s="32" t="str">
        <x:v>EV09</x:v>
      </x:c>
      <x:c r="B10" s="32" t="str">
        <x:v>2026-10-15</x:v>
      </x:c>
      <x:c r="C10" s="32" t="str">
        <x:v>negotiated_sale</x:v>
      </x:c>
      <x:c r="D10" s="32" t="str">
        <x:v>Low Tuck Kwong</x:v>
      </x:c>
      <x:c r="E10" s="32" t="str">
        <x:v>Unverified purchaser</x:v>
      </x:c>
      <x:c r="F10" s="34" t="n">
        <x:v>650000032</x:v>
      </x:c>
      <x:c r="G10" s="34" t="n">
        <x:v>2588</x:v>
      </x:c>
      <x:c r="H10" s="34" t="n">
        <x:f>IF(G10="","",F10*G10)</x:f>
        <x:v>1682200082816</x:v>
      </x:c>
      <x:c r="I10" s="36" t="n">
        <x:f>IF(H10="","",H10/1000000000000)</x:f>
        <x:v>1.682200082816</x:v>
      </x:c>
      <x:c r="J10" s="32" t="str">
        <x:v>B reported owner disclosure</x:v>
      </x:c>
      <x:c r="K10" s="32" t="str">
        <x:v>Shares and transaction price; UNKNOWN BUYER</x:v>
      </x:c>
      <x:c r="L10" s="32" t="str">
        <x:v>SALE_15OCT; 22OCT26_BEI</x:v>
      </x:c>
      <x:c r="M10" s="32" t="str">
        <x:v>Do not attribute to Jhonlin without separate confirmation</x:v>
      </x:c>
      <x:c r="N10" s="32" t="str">
        <x:v>LATER_SALE</x:v>
      </x:c>
    </x:row>
    <x:row r="11" ht="32" customHeight="1">
      <x:c r="A11" s="32" t="str">
        <x:v>EV10</x:v>
      </x:c>
      <x:c r="B11" s="32" t="str">
        <x:v>2026-10-15</x:v>
      </x:c>
      <x:c r="C11" s="32" t="str">
        <x:v>negotiated_sale</x:v>
      </x:c>
      <x:c r="D11" s="32" t="str">
        <x:v>Elaine Low</x:v>
      </x:c>
      <x:c r="E11" s="32" t="str">
        <x:v>Unverified purchaser</x:v>
      </x:c>
      <x:c r="F11" s="34" t="n">
        <x:v>16666668</x:v>
      </x:c>
      <x:c r="G11" s="34" t="n">
        <x:v>2588</x:v>
      </x:c>
      <x:c r="H11" s="34" t="n">
        <x:f>IF(G11="","",F11*G11)</x:f>
        <x:v>43133336784</x:v>
      </x:c>
      <x:c r="I11" s="36" t="n">
        <x:f>IF(H11="","",H11/1000000000000)</x:f>
        <x:v>0.043133336784</x:v>
      </x:c>
      <x:c r="J11" s="32" t="str">
        <x:v>B disclosed via press; quantity reconciled to stakes</x:v>
      </x:c>
      <x:c r="K11" s="32" t="str">
        <x:v>Shares and transaction price; UNKNOWN BUYER</x:v>
      </x:c>
      <x:c r="L11" s="32" t="str">
        <x:v>SALE_15OCT_ALT; 22OCT26</x:v>
      </x:c>
      <x:c r="M11" s="32" t="str">
        <x:v>Matched 7,350,500,368 to 7,333,833,700; buyer unverified</x:v>
      </x:c>
      <x:c r="N11" s="32" t="str">
        <x:v>LATER_SALE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7" hidden="0" customWidth="1"/>
    <x:col min="4" max="4" width="28" hidden="0" customWidth="1"/>
    <x:col min="5" max="5" width="25" hidden="0" customWidth="1"/>
    <x:col min="6" max="6" width="24" hidden="0" customWidth="1"/>
    <x:col min="7" max="7" width="27" hidden="0" customWidth="1"/>
    <x:col min="8" max="8" width="22" hidden="0" customWidth="1"/>
    <x:col min="9" max="9" width="22" hidden="0" customWidth="1"/>
    <x:col min="10" max="10" width="52" hidden="0" customWidth="1"/>
  </x:cols>
  <x:sheetData>
    <x:row r="1" ht="34" customHeight="1">
      <x:c r="A1" s="28" t="str">
        <x:v>snapshot_id</x:v>
      </x:c>
      <x:c r="B1" s="28" t="str">
        <x:v>as_of_date</x:v>
      </x:c>
      <x:c r="C1" s="28" t="str">
        <x:v>stage</x:v>
      </x:c>
      <x:c r="D1" s="28" t="str">
        <x:v>holder</x:v>
      </x:c>
      <x:c r="E1" s="28" t="str">
        <x:v>shares</x:v>
      </x:c>
      <x:c r="F1" s="28" t="str">
        <x:v>issued_shares</x:v>
      </x:c>
      <x:c r="G1" s="28" t="str">
        <x:v>direct_ownership_percent_calculated</x:v>
      </x:c>
      <x:c r="H1" s="28" t="str">
        <x:v>evidence_status</x:v>
      </x:c>
      <x:c r="I1" s="28" t="str">
        <x:v>source_ids</x:v>
      </x:c>
      <x:c r="J1" s="28" t="str">
        <x:v>notes</x:v>
      </x:c>
    </x:row>
    <x:row r="2" ht="32" customHeight="1">
      <x:c r="A2" s="32" t="str">
        <x:v>SP_20240827</x:v>
      </x:c>
      <x:c r="B2" s="32" t="str">
        <x:v>2024-08-27</x:v>
      </x:c>
      <x:c r="C2" s="32" t="str">
        <x:v>pre_gift</x:v>
      </x:c>
      <x:c r="D2" s="32" t="str">
        <x:v>Low Tuck Kwong</x:v>
      </x:c>
      <x:c r="E2" s="34" t="n">
        <x:v>20716816570</x:v>
      </x:c>
      <x:c r="F2" s="34" t="n">
        <x:v>33333335000</x:v>
      </x:c>
      <x:c r="G2" s="38" t="n">
        <x:v>62.1504466</x:v>
      </x:c>
      <x:c r="H2" s="32" t="str">
        <x:v>B</x:v>
      </x:c>
      <x:c r="I2" s="32" t="str">
        <x:v>GIFT_PRICE_2024</x:v>
      </x:c>
      <x:c r="J2" s="32" t="str">
        <x:v>Reported disclosure; other shareholding not modeled</x:v>
      </x:c>
    </x:row>
    <x:row r="3" ht="32" customHeight="1">
      <x:c r="A3" s="32" t="str">
        <x:v>SP_20240827</x:v>
      </x:c>
      <x:c r="B3" s="32" t="str">
        <x:v>2024-08-27</x:v>
      </x:c>
      <x:c r="C3" s="32" t="str">
        <x:v>pre_gift</x:v>
      </x:c>
      <x:c r="D3" s="32" t="str">
        <x:v>Elaine Low</x:v>
      </x:c>
      <x:c r="E3" s="34" t="n">
        <x:v>0</x:v>
      </x:c>
      <x:c r="F3" s="34" t="n">
        <x:v>33333335000</x:v>
      </x:c>
      <x:c r="G3" s="38" t="n">
        <x:v>0</x:v>
      </x:c>
      <x:c r="H3" s="32" t="str">
        <x:v>B</x:v>
      </x:c>
      <x:c r="I3" s="32" t="str">
        <x:v>GIFT_PRICE_2024</x:v>
      </x:c>
      <x:c r="J3" s="32" t="str">
        <x:v>Reported disclosure; other shareholding not modeled</x:v>
      </x:c>
    </x:row>
    <x:row r="4" ht="32" customHeight="1">
      <x:c r="A4" s="32" t="str">
        <x:v>SP_20240828</x:v>
      </x:c>
      <x:c r="B4" s="32" t="str">
        <x:v>2024-08-28</x:v>
      </x:c>
      <x:c r="C4" s="32" t="str">
        <x:v>post_gift</x:v>
      </x:c>
      <x:c r="D4" s="32" t="str">
        <x:v>Low Tuck Kwong</x:v>
      </x:c>
      <x:c r="E4" s="34" t="n">
        <x:v>13383482870</x:v>
      </x:c>
      <x:c r="F4" s="34" t="n">
        <x:v>33333335000</x:v>
      </x:c>
      <x:c r="G4" s="38" t="n">
        <x:v>40.1504466</x:v>
      </x:c>
      <x:c r="H4" s="32" t="str">
        <x:v>B</x:v>
      </x:c>
      <x:c r="I4" s="32" t="str">
        <x:v>GIFT_PRICE_2024</x:v>
      </x:c>
      <x:c r="J4" s="32" t="str">
        <x:v>Immediately after gift; exclude later acquisitions</x:v>
      </x:c>
    </x:row>
    <x:row r="5" ht="32" customHeight="1">
      <x:c r="A5" s="32" t="str">
        <x:v>SP_20240828</x:v>
      </x:c>
      <x:c r="B5" s="32" t="str">
        <x:v>2024-08-28</x:v>
      </x:c>
      <x:c r="C5" s="32" t="str">
        <x:v>post_gift</x:v>
      </x:c>
      <x:c r="D5" s="32" t="str">
        <x:v>Elaine Low</x:v>
      </x:c>
      <x:c r="E5" s="34" t="n">
        <x:v>7333333700</x:v>
      </x:c>
      <x:c r="F5" s="34" t="n">
        <x:v>33333335000</x:v>
      </x:c>
      <x:c r="G5" s="38" t="n">
        <x:v>22</x:v>
      </x:c>
      <x:c r="H5" s="32" t="str">
        <x:v>B</x:v>
      </x:c>
      <x:c r="I5" s="32" t="str">
        <x:v>GIFT_PRICE_2024</x:v>
      </x:c>
      <x:c r="J5" s="32" t="str">
        <x:v>Immediately after gift; exclude later acquisitions</x:v>
      </x:c>
    </x:row>
    <x:row r="6" ht="32" customHeight="1">
      <x:c r="A6" s="32" t="str">
        <x:v>SP_20241231</x:v>
      </x:c>
      <x:c r="B6" s="32" t="str">
        <x:v>2024-12-31</x:v>
      </x:c>
      <x:c r="C6" s="32" t="str">
        <x:v>year_end</x:v>
      </x:c>
      <x:c r="D6" s="32" t="str">
        <x:v>Low Tuck Kwong</x:v>
      </x:c>
      <x:c r="E6" s="34" t="n">
        <x:v>13389835770</x:v>
      </x:c>
      <x:c r="F6" s="34" t="n">
        <x:v>33333335000</x:v>
      </x:c>
      <x:c r="G6" s="38" t="n">
        <x:v>40.1695053</x:v>
      </x:c>
      <x:c r="H6" s="32" t="str">
        <x:v>A</x:v>
      </x:c>
      <x:c r="I6" s="32" t="str">
        <x:v>AR24:p56</x:v>
      </x:c>
      <x:c r="J6" s="32" t="str">
        <x:v>Printed annual report Table &gt;5% holders</x:v>
      </x:c>
    </x:row>
    <x:row r="7" ht="32" customHeight="1">
      <x:c r="A7" s="32" t="str">
        <x:v>SP_20241231</x:v>
      </x:c>
      <x:c r="B7" s="32" t="str">
        <x:v>2024-12-31</x:v>
      </x:c>
      <x:c r="C7" s="32" t="str">
        <x:v>year_end</x:v>
      </x:c>
      <x:c r="D7" s="32" t="str">
        <x:v>Elaine Low</x:v>
      </x:c>
      <x:c r="E7" s="34" t="n">
        <x:v>7333833700</x:v>
      </x:c>
      <x:c r="F7" s="34" t="n">
        <x:v>33333335000</x:v>
      </x:c>
      <x:c r="G7" s="38" t="n">
        <x:v>22.0015</x:v>
      </x:c>
      <x:c r="H7" s="32" t="str">
        <x:v>A</x:v>
      </x:c>
      <x:c r="I7" s="32" t="str">
        <x:v>AR24:p56</x:v>
      </x:c>
      <x:c r="J7" s="32" t="str">
        <x:v>Printed annual report Table &gt;5% holders</x:v>
      </x:c>
    </x:row>
    <x:row r="8" ht="32" customHeight="1">
      <x:c r="A8" s="32" t="str">
        <x:v>SP_20241231</x:v>
      </x:c>
      <x:c r="B8" s="32" t="str">
        <x:v>2024-12-31</x:v>
      </x:c>
      <x:c r="C8" s="32" t="str">
        <x:v>year_end</x:v>
      </x:c>
      <x:c r="D8" s="32" t="str">
        <x:v>PT Sumber Suryadaya Prima</x:v>
      </x:c>
      <x:c r="E8" s="34" t="n">
        <x:v>3333380000</x:v>
      </x:c>
      <x:c r="F8" s="34" t="n">
        <x:v>33333335000</x:v>
      </x:c>
      <x:c r="G8" s="38" t="n">
        <x:v>10.0001395</x:v>
      </x:c>
      <x:c r="H8" s="32" t="str">
        <x:v>A</x:v>
      </x:c>
      <x:c r="I8" s="32" t="str">
        <x:v>AR24:p56</x:v>
      </x:c>
      <x:c r="J8" s="32" t="str">
        <x:v>Printed annual report Table &gt;5% holders</x:v>
      </x:c>
    </x:row>
    <x:row r="9" ht="32" customHeight="1">
      <x:c r="A9" s="32" t="str">
        <x:v>SP_20261005</x:v>
      </x:c>
      <x:c r="B9" s="32" t="str">
        <x:v>2026-10-05</x:v>
      </x:c>
      <x:c r="C9" s="32" t="str">
        <x:v>before_family_cross</x:v>
      </x:c>
      <x:c r="D9" s="32" t="str">
        <x:v>Low Tuck Kwong</x:v>
      </x:c>
      <x:c r="E9" s="34" t="n">
        <x:v>13416921870</x:v>
      </x:c>
      <x:c r="F9" s="34" t="n">
        <x:v>33333335000</x:v>
      </x:c>
      <x:c r="G9" s="38" t="n">
        <x:v>40.2507636</x:v>
      </x:c>
      <x:c r="H9" s="32" t="str">
        <x:v>B</x:v>
      </x:c>
      <x:c r="I9" s="32" t="str">
        <x:v>6OCT26</x:v>
      </x:c>
      <x:c r="J9" s="32" t="str">
        <x:v>Reconstructed from Oct 6 transaction and later holdings</x:v>
      </x:c>
    </x:row>
    <x:row r="10" ht="32" customHeight="1">
      <x:c r="A10" s="32" t="str">
        <x:v>SP_20261005</x:v>
      </x:c>
      <x:c r="B10" s="32" t="str">
        <x:v>2026-10-05</x:v>
      </x:c>
      <x:c r="C10" s="32" t="str">
        <x:v>before_family_cross</x:v>
      </x:c>
      <x:c r="D10" s="32" t="str">
        <x:v>Elaine Low</x:v>
      </x:c>
      <x:c r="E10" s="34" t="n">
        <x:v>7333833700</x:v>
      </x:c>
      <x:c r="F10" s="34" t="n">
        <x:v>33333335000</x:v>
      </x:c>
      <x:c r="G10" s="38" t="n">
        <x:v>22.0015</x:v>
      </x:c>
      <x:c r="H10" s="32" t="str">
        <x:v>B</x:v>
      </x:c>
      <x:c r="I10" s="32" t="str">
        <x:v>6OCT26</x:v>
      </x:c>
      <x:c r="J10" s="32" t="str">
        <x:v>Reconstructed from Oct 6 transaction and later holdings</x:v>
      </x:c>
    </x:row>
    <x:row r="11" ht="32" customHeight="1">
      <x:c r="A11" s="32" t="str">
        <x:v>SP_20261006</x:v>
      </x:c>
      <x:c r="B11" s="32" t="str">
        <x:v>2026-10-06</x:v>
      </x:c>
      <x:c r="C11" s="32" t="str">
        <x:v>after_family_cross</x:v>
      </x:c>
      <x:c r="D11" s="32" t="str">
        <x:v>Low Tuck Kwong</x:v>
      </x:c>
      <x:c r="E11" s="34" t="n">
        <x:v>13383588535</x:v>
      </x:c>
      <x:c r="F11" s="34" t="n">
        <x:v>33333335000</x:v>
      </x:c>
      <x:c r="G11" s="38" t="n">
        <x:v>40.1507636</x:v>
      </x:c>
      <x:c r="H11" s="32" t="str">
        <x:v>B</x:v>
      </x:c>
      <x:c r="I11" s="32" t="str">
        <x:v>6OCT26</x:v>
      </x:c>
      <x:c r="J11" s="32" t="str">
        <x:v>Reconciles to Jhonlin closing quantities</x:v>
      </x:c>
    </x:row>
    <x:row r="12" ht="32" customHeight="1">
      <x:c r="A12" s="32" t="str">
        <x:v>SP_20261006</x:v>
      </x:c>
      <x:c r="B12" s="32" t="str">
        <x:v>2026-10-06</x:v>
      </x:c>
      <x:c r="C12" s="32" t="str">
        <x:v>after_family_cross</x:v>
      </x:c>
      <x:c r="D12" s="32" t="str">
        <x:v>Elaine Low</x:v>
      </x:c>
      <x:c r="E12" s="34" t="n">
        <x:v>7367167035</x:v>
      </x:c>
      <x:c r="F12" s="34" t="n">
        <x:v>33333335000</x:v>
      </x:c>
      <x:c r="G12" s="38" t="n">
        <x:v>22.1015</x:v>
      </x:c>
      <x:c r="H12" s="32" t="str">
        <x:v>B</x:v>
      </x:c>
      <x:c r="I12" s="32" t="str">
        <x:v>6OCT26</x:v>
      </x:c>
      <x:c r="J12" s="32" t="str">
        <x:v>Reconciles to Jhonlin closing quantities</x:v>
      </x:c>
    </x:row>
    <x:row r="13" ht="32" customHeight="1">
      <x:c r="A13" s="32" t="str">
        <x:v>SP_20261007</x:v>
      </x:c>
      <x:c r="B13" s="32" t="str">
        <x:v>2026-10-07</x:v>
      </x:c>
      <x:c r="C13" s="32" t="str">
        <x:v>after_jhonlin_closing</x:v>
      </x:c>
      <x:c r="D13" s="32" t="str">
        <x:v>Low Tuck Kwong</x:v>
      </x:c>
      <x:c r="E13" s="34" t="n">
        <x:v>3316166832</x:v>
      </x:c>
      <x:c r="F13" s="34" t="n">
        <x:v>33333335000</x:v>
      </x:c>
      <x:c r="G13" s="38" t="n">
        <x:v>9.9485</x:v>
      </x:c>
      <x:c r="H13" s="32" t="str">
        <x:v>B</x:v>
      </x:c>
      <x:c r="I13" s="32" t="str">
        <x:v>CLOSING_2026</x:v>
      </x:c>
      <x:c r="J13" s="32" t="str">
        <x:v>Jhonlin buyer stakes reconciled</x:v>
      </x:c>
    </x:row>
    <x:row r="14" ht="32" customHeight="1">
      <x:c r="A14" s="32" t="str">
        <x:v>SP_20261007</x:v>
      </x:c>
      <x:c r="B14" s="32" t="str">
        <x:v>2026-10-07</x:v>
      </x:c>
      <x:c r="C14" s="32" t="str">
        <x:v>after_jhonlin_closing</x:v>
      </x:c>
      <x:c r="D14" s="32" t="str">
        <x:v>Elaine Low</x:v>
      </x:c>
      <x:c r="E14" s="34" t="n">
        <x:v>7350500368</x:v>
      </x:c>
      <x:c r="F14" s="34" t="n">
        <x:v>33333335000</x:v>
      </x:c>
      <x:c r="G14" s="38" t="n">
        <x:v>22.0515</x:v>
      </x:c>
      <x:c r="H14" s="32" t="str">
        <x:v>B</x:v>
      </x:c>
      <x:c r="I14" s="32" t="str">
        <x:v>CLOSING_2026</x:v>
      </x:c>
      <x:c r="J14" s="32" t="str">
        <x:v>Jhonlin buyer stakes reconciled</x:v>
      </x:c>
    </x:row>
    <x:row r="15" ht="32" customHeight="1">
      <x:c r="A15" s="32" t="str">
        <x:v>SP_20261007</x:v>
      </x:c>
      <x:c r="B15" s="32" t="str">
        <x:v>2026-10-07</x:v>
      </x:c>
      <x:c r="C15" s="32" t="str">
        <x:v>after_jhonlin_closing</x:v>
      </x:c>
      <x:c r="D15" s="32" t="str">
        <x:v>PT Jhonlin Baratama</x:v>
      </x:c>
      <x:c r="E15" s="34" t="n">
        <x:v>10084088370</x:v>
      </x:c>
      <x:c r="F15" s="34" t="n">
        <x:v>33333335000</x:v>
      </x:c>
      <x:c r="G15" s="38" t="n">
        <x:v>30.2522636</x:v>
      </x:c>
      <x:c r="H15" s="32" t="str">
        <x:v>B</x:v>
      </x:c>
      <x:c r="I15" s="32" t="str">
        <x:v>CLOSING_2026</x:v>
      </x:c>
      <x:c r="J15" s="32" t="str">
        <x:v>Jhonlin buyer stakes reconciled</x:v>
      </x:c>
    </x:row>
    <x:row r="16" ht="32" customHeight="1">
      <x:c r="A16" s="32" t="str">
        <x:v>SP_20261013</x:v>
      </x:c>
      <x:c r="B16" s="32" t="str">
        <x:v>2026-10-13</x:v>
      </x:c>
      <x:c r="C16" s="32" t="str">
        <x:v>after_first_repurchase</x:v>
      </x:c>
      <x:c r="D16" s="32" t="str">
        <x:v>Low Tuck Kwong</x:v>
      </x:c>
      <x:c r="E16" s="34" t="n">
        <x:v>3316666832</x:v>
      </x:c>
      <x:c r="F16" s="34" t="n">
        <x:v>33333335000</x:v>
      </x:c>
      <x:c r="G16" s="38" t="n">
        <x:v>9.95</x:v>
      </x:c>
      <x:c r="H16" s="32" t="str">
        <x:v>B</x:v>
      </x:c>
      <x:c r="I16" s="32" t="str">
        <x:v>REBUY_2026</x:v>
      </x:c>
      <x:c r="J16" s="32" t="str">
        <x:v>+500k shares</x:v>
      </x:c>
    </x:row>
    <x:row r="17" ht="32" customHeight="1">
      <x:c r="A17" s="32" t="str">
        <x:v>SP_20261013</x:v>
      </x:c>
      <x:c r="B17" s="32" t="str">
        <x:v>2026-10-13</x:v>
      </x:c>
      <x:c r="C17" s="32" t="str">
        <x:v>after_first_repurchase</x:v>
      </x:c>
      <x:c r="D17" s="32" t="str">
        <x:v>Elaine Low</x:v>
      </x:c>
      <x:c r="E17" s="34" t="n">
        <x:v>7350500368</x:v>
      </x:c>
      <x:c r="F17" s="34" t="n">
        <x:v>33333335000</x:v>
      </x:c>
      <x:c r="G17" s="38" t="n">
        <x:v>22.0515</x:v>
      </x:c>
      <x:c r="H17" s="32" t="str">
        <x:v>B</x:v>
      </x:c>
      <x:c r="I17" s="32" t="str">
        <x:v>REBUY_2026</x:v>
      </x:c>
      <x:c r="J17" s="32" t="str">
        <x:v>+500k shares</x:v>
      </x:c>
    </x:row>
    <x:row r="18" ht="32" customHeight="1">
      <x:c r="A18" s="32" t="str">
        <x:v>SP_20261013</x:v>
      </x:c>
      <x:c r="B18" s="32" t="str">
        <x:v>2026-10-13</x:v>
      </x:c>
      <x:c r="C18" s="32" t="str">
        <x:v>after_first_repurchase</x:v>
      </x:c>
      <x:c r="D18" s="32" t="str">
        <x:v>PT Jhonlin Baratama</x:v>
      </x:c>
      <x:c r="E18" s="34" t="n">
        <x:v>10084088370</x:v>
      </x:c>
      <x:c r="F18" s="34" t="n">
        <x:v>33333335000</x:v>
      </x:c>
      <x:c r="G18" s="38" t="n">
        <x:v>30.2522636</x:v>
      </x:c>
      <x:c r="H18" s="32" t="str">
        <x:v>B</x:v>
      </x:c>
      <x:c r="I18" s="32" t="str">
        <x:v>REBUY_2026</x:v>
      </x:c>
      <x:c r="J18" s="32" t="str">
        <x:v>+500k shares</x:v>
      </x:c>
    </x:row>
    <x:row r="19" ht="32" customHeight="1">
      <x:c r="A19" s="32" t="str">
        <x:v>SP_20261014</x:v>
      </x:c>
      <x:c r="B19" s="32" t="str">
        <x:v>2026-10-14</x:v>
      </x:c>
      <x:c r="C19" s="32" t="str">
        <x:v>after_second_repurchase</x:v>
      </x:c>
      <x:c r="D19" s="32" t="str">
        <x:v>Low Tuck Kwong</x:v>
      </x:c>
      <x:c r="E19" s="34" t="n">
        <x:v>3416667832</x:v>
      </x:c>
      <x:c r="F19" s="34" t="n">
        <x:v>33333335000</x:v>
      </x:c>
      <x:c r="G19" s="38" t="n">
        <x:v>10.25000298</x:v>
      </x:c>
      <x:c r="H19" s="32" t="str">
        <x:v>B</x:v>
      </x:c>
      <x:c r="I19" s="32" t="str">
        <x:v>REBUY_2026</x:v>
      </x:c>
      <x:c r="J19" s="32" t="str">
        <x:v>+100,001,000 shares</x:v>
      </x:c>
    </x:row>
    <x:row r="20" ht="32" customHeight="1">
      <x:c r="A20" s="32" t="str">
        <x:v>SP_20261014</x:v>
      </x:c>
      <x:c r="B20" s="32" t="str">
        <x:v>2026-10-14</x:v>
      </x:c>
      <x:c r="C20" s="32" t="str">
        <x:v>after_second_repurchase</x:v>
      </x:c>
      <x:c r="D20" s="32" t="str">
        <x:v>Elaine Low</x:v>
      </x:c>
      <x:c r="E20" s="34" t="n">
        <x:v>7350500368</x:v>
      </x:c>
      <x:c r="F20" s="34" t="n">
        <x:v>33333335000</x:v>
      </x:c>
      <x:c r="G20" s="38" t="n">
        <x:v>22.0515</x:v>
      </x:c>
      <x:c r="H20" s="32" t="str">
        <x:v>B</x:v>
      </x:c>
      <x:c r="I20" s="32" t="str">
        <x:v>REBUY_2026</x:v>
      </x:c>
      <x:c r="J20" s="32" t="str">
        <x:v>+100,001,000 shares</x:v>
      </x:c>
    </x:row>
    <x:row r="21" ht="32" customHeight="1">
      <x:c r="A21" s="32" t="str">
        <x:v>SP_20261014</x:v>
      </x:c>
      <x:c r="B21" s="32" t="str">
        <x:v>2026-10-14</x:v>
      </x:c>
      <x:c r="C21" s="32" t="str">
        <x:v>after_second_repurchase</x:v>
      </x:c>
      <x:c r="D21" s="32" t="str">
        <x:v>PT Jhonlin Baratama</x:v>
      </x:c>
      <x:c r="E21" s="34" t="n">
        <x:v>10084088370</x:v>
      </x:c>
      <x:c r="F21" s="34" t="n">
        <x:v>33333335000</x:v>
      </x:c>
      <x:c r="G21" s="38" t="n">
        <x:v>30.2522636</x:v>
      </x:c>
      <x:c r="H21" s="32" t="str">
        <x:v>B</x:v>
      </x:c>
      <x:c r="I21" s="32" t="str">
        <x:v>REBUY_2026</x:v>
      </x:c>
      <x:c r="J21" s="32" t="str">
        <x:v>+100,001,000 shares</x:v>
      </x:c>
    </x:row>
    <x:row r="22" ht="32" customHeight="1">
      <x:c r="A22" s="32" t="str">
        <x:v>SP_20261019</x:v>
      </x:c>
      <x:c r="B22" s="32" t="str">
        <x:v>2026-10-19</x:v>
      </x:c>
      <x:c r="C22" s="32" t="str">
        <x:v>KSEI_reported_as_of</x:v>
      </x:c>
      <x:c r="D22" s="32" t="str">
        <x:v>Low Tuck Kwong</x:v>
      </x:c>
      <x:c r="E22" s="34" t="n">
        <x:v>2766667800</x:v>
      </x:c>
      <x:c r="F22" s="34" t="n">
        <x:v>33333335000</x:v>
      </x:c>
      <x:c r="G22" s="38" t="n">
        <x:v>8.30000298</x:v>
      </x:c>
      <x:c r="H22" s="32" t="str">
        <x:v>B</x:v>
      </x:c>
      <x:c r="I22" s="32" t="str">
        <x:v>22OCT26; 22OCT26_BEI</x:v>
      </x:c>
      <x:c r="J22" s="32" t="str">
        <x:v>KSEI figure quoted by issuer; no claims about other beneficial owners</x:v>
      </x:c>
    </x:row>
    <x:row r="23" ht="32" customHeight="1">
      <x:c r="A23" s="32" t="str">
        <x:v>SP_20261019</x:v>
      </x:c>
      <x:c r="B23" s="32" t="str">
        <x:v>2026-10-19</x:v>
      </x:c>
      <x:c r="C23" s="32" t="str">
        <x:v>KSEI_reported_as_of</x:v>
      </x:c>
      <x:c r="D23" s="32" t="str">
        <x:v>Elaine Low</x:v>
      </x:c>
      <x:c r="E23" s="34" t="n">
        <x:v>7333833700</x:v>
      </x:c>
      <x:c r="F23" s="34" t="n">
        <x:v>33333335000</x:v>
      </x:c>
      <x:c r="G23" s="38" t="n">
        <x:v>22.0015</x:v>
      </x:c>
      <x:c r="H23" s="32" t="str">
        <x:v>B</x:v>
      </x:c>
      <x:c r="I23" s="32" t="str">
        <x:v>22OCT26; 22OCT26_BEI</x:v>
      </x:c>
      <x:c r="J23" s="32" t="str">
        <x:v>KSEI figure quoted by issuer; no claims about other beneficial owners</x:v>
      </x:c>
    </x:row>
    <x:row r="24" ht="32" customHeight="1">
      <x:c r="A24" s="32" t="str">
        <x:v>SP_20261019</x:v>
      </x:c>
      <x:c r="B24" s="32" t="str">
        <x:v>2026-10-19</x:v>
      </x:c>
      <x:c r="C24" s="32" t="str">
        <x:v>KSEI_reported_as_of</x:v>
      </x:c>
      <x:c r="D24" s="32" t="str">
        <x:v>PT Jhonlin Baratama</x:v>
      </x:c>
      <x:c r="E24" s="34" t="n">
        <x:v>10084088370</x:v>
      </x:c>
      <x:c r="F24" s="34" t="n">
        <x:v>33333335000</x:v>
      </x:c>
      <x:c r="G24" s="38" t="n">
        <x:v>30.2522636</x:v>
      </x:c>
      <x:c r="H24" s="32" t="str">
        <x:v>B</x:v>
      </x:c>
      <x:c r="I24" s="32" t="str">
        <x:v>22OCT26; 22OCT26_BEI</x:v>
      </x:c>
      <x:c r="J24" s="32" t="str">
        <x:v>KSEI figure quoted by issuer; no claims about other beneficial owners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29" hidden="0" customWidth="1"/>
    <x:col min="3" max="3" width="16" hidden="0" customWidth="1"/>
    <x:col min="4" max="4" width="70" hidden="0" customWidth="1"/>
    <x:col min="5" max="5" width="42" hidden="0" customWidth="1"/>
    <x:col min="6" max="6" width="21" hidden="0" customWidth="1"/>
  </x:cols>
  <x:sheetData>
    <x:row r="1" ht="34" customHeight="1">
      <x:c r="A1" s="28" t="str">
        <x:v>metric</x:v>
      </x:c>
      <x:c r="B1" s="28" t="str">
        <x:v>value</x:v>
      </x:c>
      <x:c r="C1" s="28" t="str">
        <x:v>unit</x:v>
      </x:c>
      <x:c r="D1" s="28" t="str">
        <x:v>definition_caveat</x:v>
      </x:c>
      <x:c r="E1" s="28" t="str">
        <x:v>sources</x:v>
      </x:c>
      <x:c r="F1" s="28" t="str">
        <x:v>evidence_status</x:v>
      </x:c>
    </x:row>
    <x:row r="2" ht="32" customHeight="1">
      <x:c r="A2" s="32" t="str">
        <x:v>gift_2024_shares</x:v>
      </x:c>
      <x:c r="B2" s="32" t="n">
        <x:v>7333333700</x:v>
      </x:c>
      <x:c r="C2" s="32" t="str">
        <x:v>shares</x:v>
      </x:c>
      <x:c r="D2" s="32" t="str">
        <x:v>Gift amount from official AR24 p64</x:v>
      </x:c>
      <x:c r="E2" s="32" t="str">
        <x:v>AR24</x:v>
      </x:c>
      <x:c r="F2" s="32" t="str">
        <x:v>A</x:v>
      </x:c>
    </x:row>
    <x:row r="3" ht="32" customHeight="1">
      <x:c r="A3" s="32" t="str">
        <x:v>gift_2024_implied_cross_value_idr</x:v>
      </x:c>
      <x:c r="B3" s="32" t="n">
        <x:v>101845338425600</x:v>
      </x:c>
      <x:c r="C3" s="32" t="str">
        <x:v>IDR</x:v>
      </x:c>
      <x:c r="D3" s="32" t="str">
        <x:v>Price Rp13,888 per share from press; price disputed; this is NOT cash proceeds</x:v>
      </x:c>
      <x:c r="E3" s="32" t="str">
        <x:v>GIFT_PRICE_2024;GIFT_PRICE_ALT</x:v>
      </x:c>
      <x:c r="F3" s="32" t="str">
        <x:v>B</x:v>
      </x:c>
    </x:row>
    <x:row r="4" ht="32" customHeight="1">
      <x:c r="A4" s="32" t="str">
        <x:v>jhonlin_2026_total_shares</x:v>
      </x:c>
      <x:c r="B4" s="32" t="n">
        <x:v>10084088370</x:v>
      </x:c>
      <x:c r="C4" s="32" t="str">
        <x:v>shares</x:v>
      </x:c>
      <x:c r="D4" s="32" t="str">
        <x:v>10,067,421,703 Low + 16,666,667 Elaine</x:v>
      </x:c>
      <x:c r="E4" s="32" t="str">
        <x:v>CLOSING_2026</x:v>
      </x:c>
      <x:c r="F4" s="32" t="str">
        <x:v>B</x:v>
      </x:c>
    </x:row>
    <x:row r="5" ht="32" customHeight="1">
      <x:c r="A5" s="32" t="str">
        <x:v>jhonlin_2026_implied_gross_value_idr</x:v>
      </x:c>
      <x:c r="B5" s="32" t="n">
        <x:v>26097620701560</x:v>
      </x:c>
      <x:c r="C5" s="32" t="str">
        <x:v>IDR</x:v>
      </x:c>
      <x:c r="D5" s="32" t="str">
        <x:v>Price Rp2,588/share</x:v>
      </x:c>
      <x:c r="E5" s="32" t="str">
        <x:v>CLOSING_PRICE</x:v>
      </x:c>
      <x:c r="F5" s="32" t="str">
        <x:v>B</x:v>
      </x:c>
    </x:row>
    <x:row r="6" ht="32" customHeight="1">
      <x:c r="A6" s="32" t="str">
        <x:v>later_sale_oct15_shares</x:v>
      </x:c>
      <x:c r="B6" s="32" t="n">
        <x:v>666666700</x:v>
      </x:c>
      <x:c r="C6" s="32" t="str">
        <x:v>shares</x:v>
      </x:c>
      <x:c r="D6" s="32" t="str">
        <x:v>650,000,032 Low + 16,666,668 Elaine; buyer unknown</x:v>
      </x:c>
      <x:c r="E6" s="32" t="str">
        <x:v>SALE_15OCT;22OCT26</x:v>
      </x:c>
      <x:c r="F6" s="32" t="str">
        <x:v>B</x:v>
      </x:c>
    </x:row>
    <x:row r="7" ht="32" customHeight="1">
      <x:c r="A7" s="32" t="str">
        <x:v>later_sale_oct15_implied_gross_value_idr</x:v>
      </x:c>
      <x:c r="B7" s="32" t="n">
        <x:v>1725333419600</x:v>
      </x:c>
      <x:c r="C7" s="32" t="str">
        <x:v>IDR</x:v>
      </x:c>
      <x:c r="D7" s="32" t="str">
        <x:v>Price Rp2,588/share; buyer unknown</x:v>
      </x:c>
      <x:c r="E7" s="32" t="str">
        <x:v>SALE_15OCT;22OCT26</x:v>
      </x:c>
      <x:c r="F7" s="32" t="str">
        <x:v>B</x:v>
      </x:c>
    </x:row>
    <x:row r="8" ht="32" customHeight="1">
      <x:c r="A8" s="32" t="str">
        <x:v>gross_oct_2026_two_external_sales_idr</x:v>
      </x:c>
      <x:c r="B8" s="32" t="n">
        <x:v>27822954121160</x:v>
      </x:c>
      <x:c r="C8" s="32" t="str">
        <x:v>IDR</x:v>
      </x:c>
      <x:c r="D8" s="32" t="str">
        <x:v>Gross at disclosed negotiated price, excluding family sale Oct6 and purchases Oct13-14; not net cash or foreign outflow</x:v>
      </x:c>
      <x:c r="E8" s="32" t="str">
        <x:v>CLOSING_PRICE;SALE_15OCT</x:v>
      </x:c>
      <x:c r="F8" s="32" t="str">
        <x:v>B</x:v>
      </x:c>
    </x:row>
    <x:row r="9" ht="32" customHeight="1">
      <x:c r="A9" s="32" t="str">
        <x:v>low_elaine_oct19_direct_shares</x:v>
      </x:c>
      <x:c r="B9" s="32" t="n">
        <x:v>10100501500</x:v>
      </x:c>
      <x:c r="C9" s="32" t="str">
        <x:v>shares</x:v>
      </x:c>
      <x:c r="D9" s="32" t="str">
        <x:v>Direct holdings combined; not proof of independent votes/control</x:v>
      </x:c>
      <x:c r="E9" s="32" t="str">
        <x:v>22OCT26</x:v>
      </x:c>
      <x:c r="F9" s="32" t="str">
        <x:v>B</x:v>
      </x:c>
    </x:row>
    <x:row r="10" ht="32" customHeight="1">
      <x:c r="A10" s="32" t="str">
        <x:v>jhonlin_oct19_direct_shares</x:v>
      </x:c>
      <x:c r="B10" s="32" t="n">
        <x:v>10084088370</x:v>
      </x:c>
      <x:c r="C10" s="32" t="str">
        <x:v>shares</x:v>
      </x:c>
      <x:c r="D10" s="32" t="str">
        <x:v>As per issuer quote of KSEI</x:v>
      </x:c>
      <x:c r="E10" s="32" t="str">
        <x:v>22OCT26</x:v>
      </x:c>
      <x:c r="F10" s="32" t="str">
        <x:v>B</x:v>
      </x:c>
    </x:row>
    <x:row r="11" ht="32" customHeight="1">
      <x:c r="A11" s="32" t="str">
        <x:v>oct14_vs_2588_gap_percent</x:v>
      </x:c>
      <x:c r="B11" s="32" t="n">
        <x:v>76.892857</x:v>
      </x:c>
      <x:c r="C11" s="32" t="str">
        <x:v>percent</x:v>
      </x:c>
      <x:c r="D11" s="32" t="str">
        <x:v>Comparison of different transaction dates, sizes, market conditions and buyers; not fair value conclusion</x:v>
      </x:c>
      <x:c r="E11" s="32" t="str">
        <x:v>22OCT26_BEI</x:v>
      </x:c>
      <x:c r="F11" s="32" t="str">
        <x:v>calculated</x:v>
      </x:c>
    </x:row>
    <x:row r="12" ht="32" customHeight="1">
      <x:c r="A12" s="32" t="str">
        <x:v>unverified_oct15_purchaser</x:v>
      </x:c>
      <x:c r="B12" s="32" t="str"/>
      <x:c r="C12" s="32" t="str">
        <x:v>unknown</x:v>
      </x:c>
      <x:c r="D12" s="32" t="str">
        <x:v>Do not equate 15 Oct buyer with Jhonlin absent records</x:v>
      </x:c>
      <x:c r="E12" s="32" t="str">
        <x:v>22OCT26_BEI</x:v>
      </x:c>
      <x:c r="F12" s="32" t="str">
        <x:v>OPEN</x:v>
      </x:c>
    </x:row>
    <x:row r="13" ht="32" customHeight="1">
      <x:c r="A13" s="32" t="str">
        <x:v>change_of_control</x:v>
      </x:c>
      <x:c r="B13" s="32" t="str"/>
      <x:c r="C13" s="32" t="str">
        <x:v>unknown</x:v>
      </x:c>
      <x:c r="D13" s="32" t="str">
        <x:v>Issuer said no notified new controller as of 22 Oct; control subject to governance/voting rights</x:v>
      </x:c>
      <x:c r="E13" s="32" t="str">
        <x:v>22OCT26</x:v>
      </x:c>
      <x:c r="F13" s="32" t="str">
        <x:v>OPEN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9" hidden="0" customWidth="1"/>
    <x:col min="4" max="4" width="69" hidden="0" customWidth="1"/>
    <x:col min="5" max="5" width="36" hidden="0" customWidth="1"/>
    <x:col min="6" max="6" width="62" hidden="0" customWidth="1"/>
    <x:col min="7" max="7" width="40" hidden="0" customWidth="1"/>
    <x:col min="8" max="8" width="27" hidden="0" customWidth="1"/>
  </x:cols>
  <x:sheetData>
    <x:row r="1" ht="34" customHeight="1">
      <x:c r="A1" s="28" t="str">
        <x:v>question_id</x:v>
      </x:c>
      <x:c r="B1" s="28" t="str">
        <x:v>priority</x:v>
      </x:c>
      <x:c r="C1" s="28" t="str">
        <x:v>theme</x:v>
      </x:c>
      <x:c r="D1" s="28" t="str">
        <x:v>research_question</x:v>
      </x:c>
      <x:c r="E1" s="28" t="str">
        <x:v>targets</x:v>
      </x:c>
      <x:c r="F1" s="28" t="str">
        <x:v>documents_needed</x:v>
      </x:c>
      <x:c r="G1" s="28" t="str">
        <x:v>test</x:v>
      </x:c>
      <x:c r="H1" s="28" t="str">
        <x:v>status</x:v>
      </x:c>
    </x:row>
    <x:row r="2" ht="32" customHeight="1">
      <x:c r="A2" s="32" t="str">
        <x:v>Q01</x:v>
      </x:c>
      <x:c r="B2" s="32" t="str">
        <x:v>highest</x:v>
      </x:c>
      <x:c r="C2" s="32" t="str">
        <x:v>identity</x:v>
      </x:c>
      <x:c r="D2" s="32" t="str">
        <x:v>Who acquired 650,000,032 Low shares and 16,666,668 Elaine shares on 15 Oct?</x:v>
      </x:c>
      <x:c r="E2" s="32" t="str">
        <x:v>BEI/OJK/KSEI/BYAN/parties</x:v>
      </x:c>
      <x:c r="F2" s="32" t="str">
        <x:v>Disclosure of counterparty; nominee capacity; ownership update</x:v>
      </x:c>
      <x:c r="G2" s="32" t="str">
        <x:v>A direct public document</x:v>
      </x:c>
      <x:c r="H2" s="32" t="str">
        <x:v>not verified</x:v>
      </x:c>
    </x:row>
    <x:row r="3" ht="32" customHeight="1">
      <x:c r="A3" s="32" t="str">
        <x:v>Q02</x:v>
      </x:c>
      <x:c r="B3" s="32" t="str">
        <x:v>highest</x:v>
      </x:c>
      <x:c r="C3" s="32" t="str">
        <x:v>controlling_vote</x:v>
      </x:c>
      <x:c r="D3" s="32" t="str">
        <x:v>What voting and coordination agreements exist between Low, Elaine, Jhonlin and any other parties?</x:v>
      </x:c>
      <x:c r="E3" s="32" t="str">
        <x:v>BYAN/OJK</x:v>
      </x:c>
      <x:c r="F3" s="32" t="str">
        <x:v>Voting deed, parties acting in concert, board appointment rights</x:v>
      </x:c>
      <x:c r="G3" s="32" t="str">
        <x:v>A public filing or official clarification</x:v>
      </x:c>
      <x:c r="H3" s="32" t="str">
        <x:v>unverified</x:v>
      </x:c>
    </x:row>
    <x:row r="4" ht="32" customHeight="1">
      <x:c r="A4" s="32" t="str">
        <x:v>Q03</x:v>
      </x:c>
      <x:c r="B4" s="32" t="str">
        <x:v>high</x:v>
      </x:c>
      <x:c r="C4" s="32" t="str">
        <x:v>price_reason</x:v>
      </x:c>
      <x:c r="D4" s="32" t="str">
        <x:v>Why was sale negotiated at Rp2,588 while another acquisition occurred at Rp11,200?</x:v>
      </x:c>
      <x:c r="E4" s="32" t="str">
        <x:v>Sellers/Jhonlin/BEI/OJK</x:v>
      </x:c>
      <x:c r="F4" s="32" t="str">
        <x:v>Independent valuation, negotiated deal terms, due diligence, encumbrances</x:v>
      </x:c>
      <x:c r="G4" s="32" t="str">
        <x:v>Parties primary clarification</x:v>
      </x:c>
      <x:c r="H4" s="32" t="str">
        <x:v>unverified</x:v>
      </x:c>
    </x:row>
    <x:row r="5" ht="32" customHeight="1">
      <x:c r="A5" s="32" t="str">
        <x:v>Q04</x:v>
      </x:c>
      <x:c r="B5" s="32" t="str">
        <x:v>high</x:v>
      </x:c>
      <x:c r="C5" s="32" t="str">
        <x:v>tax_2024</x:v>
      </x:c>
      <x:c r="D5" s="32" t="str">
        <x:v>What is the income-tax treatment applied to the parent-to-child share gift and how was the exemption condition assessed?</x:v>
      </x:c>
      <x:c r="E5" s="32" t="str">
        <x:v>DJP and parties (subject to confidentiality)</x:v>
      </x:c>
      <x:c r="F5" s="32" t="str">
        <x:v>General interpretative guidance, voluntary official explanation</x:v>
      </x:c>
      <x:c r="G5" s="32" t="str">
        <x:v>Not a request for protected taxpayer SPT</x:v>
      </x:c>
      <x:c r="H5" s="32" t="str">
        <x:v>unverified</x:v>
      </x:c>
    </x:row>
    <x:row r="6" ht="32" customHeight="1">
      <x:c r="A6" s="32" t="str">
        <x:v>Q05</x:v>
      </x:c>
      <x:c r="B6" s="32" t="str">
        <x:v>high</x:v>
      </x:c>
      <x:c r="C6" s="32" t="str">
        <x:v>tax_2026</x:v>
      </x:c>
      <x:c r="D6" s="32" t="str">
        <x:v>What taxable events, reporting, and cost bases follow from negotiated-market share sales in 2026?</x:v>
      </x:c>
      <x:c r="E6" s="32" t="str">
        <x:v>Tax adviser/DJP/general law</x:v>
      </x:c>
      <x:c r="F6" s="32" t="str">
        <x:v>Applicable share-transfer taxes and special conditions</x:v>
      </x:c>
      <x:c r="G6" s="32" t="str">
        <x:v>Legally reviewed</x:v>
      </x:c>
      <x:c r="H6" s="32" t="str">
        <x:v>unverified</x:v>
      </x:c>
    </x:row>
    <x:row r="7" ht="32" customHeight="1">
      <x:c r="A7" s="32" t="str">
        <x:v>Q06</x:v>
      </x:c>
      <x:c r="B7" s="32" t="str">
        <x:v>high</x:v>
      </x:c>
      <x:c r="C7" s="32" t="str">
        <x:v>mining_licenses</x:v>
      </x:c>
      <x:c r="D7" s="32" t="str">
        <x:v>Do indirect ownership changes affect ownership/divestment obligations for specific mining permit holders?</x:v>
      </x:c>
      <x:c r="E7" s="32" t="str">
        <x:v>ESDM; BYAN</x:v>
      </x:c>
      <x:c r="F7" s="32" t="str">
        <x:v>IUP/IUPK holders, PMA status, divestment stage, permit dates</x:v>
      </x:c>
      <x:c r="G7" s="32" t="str">
        <x:v>ESDM data</x:v>
      </x:c>
      <x:c r="H7" s="32" t="str">
        <x:v>unverified</x:v>
      </x:c>
    </x:row>
    <x:row r="8" ht="32" customHeight="1">
      <x:c r="A8" s="32" t="str">
        <x:v>Q07</x:v>
      </x:c>
      <x:c r="B8" s="32" t="str">
        <x:v>high</x:v>
      </x:c>
      <x:c r="C8" s="32" t="str">
        <x:v>cash_transfer</x:v>
      </x:c>
      <x:c r="D8" s="32" t="str">
        <x:v>Where and to whom were net sale proceeds and dividends paid?</x:v>
      </x:c>
      <x:c r="E8" s="32" t="str">
        <x:v>Parties, audited entity disclosures</x:v>
      </x:c>
      <x:c r="F8" s="32" t="str">
        <x:v>Only voluntary or publicly disclosed sources; never infer private accounts</x:v>
      </x:c>
      <x:c r="G8" s="32" t="str">
        <x:v>Financial statements / public filings</x:v>
      </x:c>
      <x:c r="H8" s="32" t="str">
        <x:v>unverified</x:v>
      </x:c>
    </x:row>
    <x:row r="9" ht="32" customHeight="1">
      <x:c r="A9" s="32" t="str">
        <x:v>Q08</x:v>
      </x:c>
      <x:c r="B9" s="32" t="str">
        <x:v>medium</x:v>
      </x:c>
      <x:c r="C9" s="32" t="str">
        <x:v>gift_discrepancy</x:v>
      </x:c>
      <x:c r="D9" s="32" t="str">
        <x:v>Why is gift count 7,333,333,700 whereas Elaine Dec 2024 balance is 7,333,833,700?</x:v>
      </x:c>
      <x:c r="E9" s="32" t="str">
        <x:v>BYAN and historical OJK filing</x:v>
      </x:c>
      <x:c r="F9" s="32" t="str">
        <x:v>Transaction 500,000 shares after gift</x:v>
      </x:c>
      <x:c r="G9" s="32" t="str">
        <x:v>Share ownership notification</x:v>
      </x:c>
      <x:c r="H9" s="32" t="str">
        <x:v>difference established; explanation missing</x:v>
      </x:c>
    </x:row>
    <x:row r="10" ht="32" customHeight="1">
      <x:c r="A10" s="32" t="str">
        <x:v>Q09</x:v>
      </x:c>
      <x:c r="B10" s="32" t="str">
        <x:v>medium</x:v>
      </x:c>
      <x:c r="C10" s="32" t="str">
        <x:v>related_party</x:v>
      </x:c>
      <x:c r="D10" s="32" t="str">
        <x:v>Who ultimately owns PT Sumber Suryadaya Prima and does its 10% stake carry coordinated control?</x:v>
      </x:c>
      <x:c r="E10" s="32" t="str">
        <x:v>AHU/BYAN</x:v>
      </x:c>
      <x:c r="F10" s="32" t="str">
        <x:v>UBO and voting rights</x:v>
      </x:c>
      <x:c r="G10" s="32" t="str">
        <x:v>Primary UBO filing, due regard to privacy</x:v>
      </x:c>
      <x:c r="H10" s="32" t="str">
        <x:v>unverified</x:v>
      </x:c>
    </x:row>
    <x:row r="11" ht="32" customHeight="1">
      <x:c r="A11" s="32" t="str">
        <x:v>Q10</x:v>
      </x:c>
      <x:c r="B11" s="32" t="str">
        <x:v>medium</x:v>
      </x:c>
      <x:c r="C11" s="32" t="str">
        <x:v>market_fraction</x:v>
      </x:c>
      <x:c r="D11" s="32" t="str">
        <x:v>Are negotiated price comparisons distorted by low free-float/liquidity/transaction structure?</x:v>
      </x:c>
      <x:c r="E11" s="32" t="str">
        <x:v>BEI market data/independent valuation</x:v>
      </x:c>
      <x:c r="F11" s="32" t="str">
        <x:v>Market volumes, float, conditions, period matched prices</x:v>
      </x:c>
      <x:c r="G11" s="32" t="str">
        <x:v>Market statistical audit</x:v>
      </x:c>
      <x:c r="H11" s="32" t="str">
        <x:v>unverified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33" hidden="0" customWidth="1"/>
    <x:col min="4" max="4" width="78" hidden="0" customWidth="1"/>
    <x:col min="5" max="5" width="66" hidden="0" customWidth="1"/>
    <x:col min="6" max="6" width="13" hidden="0" customWidth="1"/>
    <x:col min="7" max="7" width="17" hidden="0" customWidth="1"/>
  </x:cols>
  <x:sheetData>
    <x:row r="1" ht="34" customHeight="1">
      <x:c r="A1" s="28" t="str">
        <x:v>source_id</x:v>
      </x:c>
      <x:c r="B1" s="28" t="str">
        <x:v>publication_date</x:v>
      </x:c>
      <x:c r="C1" s="28" t="str">
        <x:v>source_type</x:v>
      </x:c>
      <x:c r="D1" s="28" t="str">
        <x:v>url</x:v>
      </x:c>
      <x:c r="E1" s="28" t="str">
        <x:v>evidence_usage</x:v>
      </x:c>
      <x:c r="F1" s="28" t="str">
        <x:v>grade</x:v>
      </x:c>
      <x:c r="G1" s="28" t="str">
        <x:v>reviewed_on</x:v>
      </x:c>
    </x:row>
    <x:row r="2" ht="32" customHeight="1">
      <x:c r="A2" s="32" t="str">
        <x:v>AR24</x:v>
      </x:c>
      <x:c r="B2" s="32" t="str">
        <x:v>2025-04-28</x:v>
      </x:c>
      <x:c r="C2" s="32" t="str">
        <x:v>primary</x:v>
      </x:c>
      <x:c r="D2" s="32" t="str">
        <x:v>https://www.bayan.com.sg/cfind/source/files/annual-report/ar-byan-2024-final-ojk.pdf</x:v>
      </x:c>
      <x:c r="E2" s="32" t="str">
        <x:v>Bayan annual report 2024 pp56 and 64; inconsistent amount gift vs later holding</x:v>
      </x:c>
      <x:c r="F2" s="32" t="str">
        <x:v>A</x:v>
      </x:c>
      <x:c r="G2" s="32" t="str">
        <x:v>2026-10-24</x:v>
      </x:c>
    </x:row>
    <x:row r="3" ht="32" customHeight="1">
      <x:c r="A3" s="32" t="str">
        <x:v>OFFICIAL_GIFT_2024</x:v>
      </x:c>
      <x:c r="B3" s="32" t="str">
        <x:v>2024-08-29</x:v>
      </x:c>
      <x:c r="C3" s="32" t="str">
        <x:v>secondary_of_disclosure</x:v>
      </x:c>
      <x:c r="D3" s="32" t="str">
        <x:v>https://katadata.co.id/finansial/bursa/66d02ef95f775/low-tuck-kwong-hibahkan-7-33-miliar-saham-byan-ke-anaknya-senilai-rp-101-8-t</x:v>
      </x:c>
      <x:c r="E3" s="32" t="str">
        <x:v>Katadata quoting issuer on 28 Aug gift and voting terms</x:v>
      </x:c>
      <x:c r="F3" s="32" t="str">
        <x:v>B</x:v>
      </x:c>
      <x:c r="G3" s="32" t="str">
        <x:v>2026-10-24</x:v>
      </x:c>
    </x:row>
    <x:row r="4" ht="32" customHeight="1">
      <x:c r="A4" s="32" t="str">
        <x:v>GIFT_PRICE_2024</x:v>
      </x:c>
      <x:c r="B4" s="32" t="str">
        <x:v>2024-09-04</x:v>
      </x:c>
      <x:c r="C4" s="32" t="str">
        <x:v>secondary_of_disclosure</x:v>
      </x:c>
      <x:c r="D4" s="32" t="str">
        <x:v>https://www.ipotnews.com/ipotnews/newsDetail.php?group_news=RESEARCHNEWS&amp;halaman=1&amp;jdl=Alasan_Low_Tuck_Kwong_Hibah_Saham_BYAN_Rp_122_Triliun_ke_Anaknya_&amp;name=&amp;news_id=451416&amp;q=%2C&amp;search=y_general&amp;taging_subtype=PG002</x:v>
      </x:c>
      <x:c r="E4" s="32" t="str">
        <x:v>CNBC mirrored: price Rp13888; gift R 101.8T; voting direction</x:v>
      </x:c>
      <x:c r="F4" s="32" t="str">
        <x:v>B</x:v>
      </x:c>
      <x:c r="G4" s="32" t="str">
        <x:v>2026-10-24</x:v>
      </x:c>
    </x:row>
    <x:row r="5" ht="32" customHeight="1">
      <x:c r="A5" s="32" t="str">
        <x:v>GIFT_PRICE_ALT</x:v>
      </x:c>
      <x:c r="B5" s="32" t="str">
        <x:v>2024-08-28</x:v>
      </x:c>
      <x:c r="C5" s="32" t="str">
        <x:v>secondary_marketdata</x:v>
      </x:c>
      <x:c r="D5" s="32" t="str">
        <x:v>https://market.bisnis.com/read/20240828/7/1794988/transaksi-saham-tembus-rp116-triliun-terdorong-crossing-jumbo-byan</x:v>
      </x:c>
      <x:c r="E5" s="32" t="str">
        <x:v>Bisnis cites Rp13851; discrepancy versus 13888</x:v>
      </x:c>
      <x:c r="F5" s="32" t="str">
        <x:v>B</x:v>
      </x:c>
      <x:c r="G5" s="32" t="str">
        <x:v>2026-10-24</x:v>
      </x:c>
    </x:row>
    <x:row r="6" ht="32" customHeight="1">
      <x:c r="A6" s="32" t="str">
        <x:v>6OCT26</x:v>
      </x:c>
      <x:c r="B6" s="32" t="str">
        <x:v>2026-10-09</x:v>
      </x:c>
      <x:c r="C6" s="32" t="str">
        <x:v>secondary_of_disclosure</x:v>
      </x:c>
      <x:c r="D6" s="32" t="str">
        <x:v>https://swa.co.id/read/478201/tuntas-jhonlin-baratama-resmi-genggam-3025-saham-bayan-resources-byan</x:v>
      </x:c>
      <x:c r="E6" s="32" t="str">
        <x:v>SWA transaction list price 11025 shares 33,333,335</x:v>
      </x:c>
      <x:c r="F6" s="32" t="str">
        <x:v>B</x:v>
      </x:c>
      <x:c r="G6" s="32" t="str">
        <x:v>2026-10-24</x:v>
      </x:c>
    </x:row>
    <x:row r="7" ht="32" customHeight="1">
      <x:c r="A7" s="32" t="str">
        <x:v>ADDENDUM_2026</x:v>
      </x:c>
      <x:c r="B7" s="32" t="str">
        <x:v>2026-10-07</x:v>
      </x:c>
      <x:c r="C7" s="32" t="str">
        <x:v>secondary_of_disclosure</x:v>
      </x:c>
      <x:c r="D7" s="32" t="str">
        <x:v>https://webcrp.bcasekuritas.co.id/latest-news/news/bayan-ubah-perjanjian-jual-beli-saham-dengan-jhonlin</x:v>
      </x:c>
      <x:c r="E7" s="32" t="str">
        <x:v>BCA Sekuritas recap issuer letter 530/BR-OJK/X/2026</x:v>
      </x:c>
      <x:c r="F7" s="32" t="str">
        <x:v>B</x:v>
      </x:c>
      <x:c r="G7" s="32" t="str">
        <x:v>2026-10-24</x:v>
      </x:c>
    </x:row>
    <x:row r="8" ht="32" customHeight="1">
      <x:c r="A8" s="32" t="str">
        <x:v>CLOSING_2026</x:v>
      </x:c>
      <x:c r="B8" s="32" t="str">
        <x:v>2026-10-09</x:v>
      </x:c>
      <x:c r="C8" s="32" t="str">
        <x:v>secondary_of_disclosure</x:v>
      </x:c>
      <x:c r="D8" s="32" t="str">
        <x:v>https://www.bcasekuritas.co.id/latest-news/news/jhonlin-baratama-resmi-kuasai-3025-saham-bayan-resources-byan</x:v>
      </x:c>
      <x:c r="E8" s="32" t="str">
        <x:v>BCA Sekuritas republishing reported material fact</x:v>
      </x:c>
      <x:c r="F8" s="32" t="str">
        <x:v>B</x:v>
      </x:c>
      <x:c r="G8" s="32" t="str">
        <x:v>2026-10-24</x:v>
      </x:c>
    </x:row>
    <x:row r="9" ht="32" customHeight="1">
      <x:c r="A9" s="32" t="str">
        <x:v>CLOSING_PRICE</x:v>
      </x:c>
      <x:c r="B9" s="32" t="str">
        <x:v>2026-10-09</x:v>
      </x:c>
      <x:c r="C9" s="32" t="str">
        <x:v>secondary_market_analysis</x:v>
      </x:c>
      <x:c r="D9" s="32" t="str">
        <x:v>https://snips.stockbit.com/stockbit-research/pt-jhonlin-baratama-rampungkan-pembelian-3025-saham-byan</x:v>
      </x:c>
      <x:c r="E9" s="32" t="str">
        <x:v>Stockbit recap 2588/share 10.084bn</x:v>
      </x:c>
      <x:c r="F9" s="32" t="str">
        <x:v>B</x:v>
      </x:c>
      <x:c r="G9" s="32" t="str">
        <x:v>2026-10-24</x:v>
      </x:c>
    </x:row>
    <x:row r="10" ht="32" customHeight="1">
      <x:c r="A10" s="32" t="str">
        <x:v>REBUY_2026</x:v>
      </x:c>
      <x:c r="B10" s="32" t="str">
        <x:v>2026-10-15</x:v>
      </x:c>
      <x:c r="C10" s="32" t="str">
        <x:v>secondary_of_ownership_disclosure</x:v>
      </x:c>
      <x:c r="D10" s="32" t="str">
        <x:v>https://www.idnfinancials.com/id/news/70335/jual-murah-ke-haji-isam-bos-byan-beli-saham-lagi-di-harga-pasar</x:v>
      </x:c>
      <x:c r="E10" s="32" t="str">
        <x:v>IDNFinancials 13 Oct 500k + 14 Oct 100001000; compare reported changes</x:v>
      </x:c>
      <x:c r="F10" s="32" t="str">
        <x:v>B</x:v>
      </x:c>
      <x:c r="G10" s="32" t="str">
        <x:v>2026-10-24</x:v>
      </x:c>
    </x:row>
    <x:row r="11" ht="32" customHeight="1">
      <x:c r="A11" s="32" t="str">
        <x:v>SALE_15OCT</x:v>
      </x:c>
      <x:c r="B11" s="32" t="str">
        <x:v>2026-10-16</x:v>
      </x:c>
      <x:c r="C11" s="32" t="str">
        <x:v>secondary_of_ownership_disclosure</x:v>
      </x:c>
      <x:c r="D11" s="32" t="str">
        <x:v>https://market.bisnis.com/read/20261016/192/2013138/harga-diskon-low-tuck-kwong-elaine-low-divestasi-saham-byan-rp172-triliun</x:v>
      </x:c>
      <x:c r="E11" s="32" t="str">
        <x:v>Bisnis 650000032 shares sale 2588</x:v>
      </x:c>
      <x:c r="F11" s="32" t="str">
        <x:v>B</x:v>
      </x:c>
      <x:c r="G11" s="32" t="str">
        <x:v>2026-10-24</x:v>
      </x:c>
    </x:row>
    <x:row r="12" ht="32" customHeight="1">
      <x:c r="A12" s="32" t="str">
        <x:v>SALE_15OCT_ALT</x:v>
      </x:c>
      <x:c r="B12" s="32" t="str">
        <x:v>2026-10-16</x:v>
      </x:c>
      <x:c r="C12" s="32" t="str">
        <x:v>secondary</x:v>
      </x:c>
      <x:c r="D12" s="32" t="str">
        <x:v>https://www.emitennews.com/news/bos-byan-putri-lego-jutaan-lembar-setor-ke-h-isam</x:v>
      </x:c>
      <x:c r="E12" s="32" t="str">
        <x:v>Emitennews reports Ela 16666668 shares; unverified buyer speculation not adopted</x:v>
      </x:c>
      <x:c r="F12" s="32" t="str">
        <x:v>B</x:v>
      </x:c>
      <x:c r="G12" s="32" t="str">
        <x:v>2026-10-24</x:v>
      </x:c>
    </x:row>
    <x:row r="13" ht="32" customHeight="1">
      <x:c r="A13" s="32" t="str">
        <x:v>22OCT26</x:v>
      </x:c>
      <x:c r="B13" s="32" t="str">
        <x:v>2026-10-22</x:v>
      </x:c>
      <x:c r="C13" s="32" t="str">
        <x:v>secondary_of_Bayan_BEI_response</x:v>
      </x:c>
      <x:c r="D13" s="32" t="str">
        <x:v>https://finance.detik.com/bursa-dan-valas/d-8719560/bayan-buka-suara-sahamnya-diborong-haji-isam-di-harga-murah/amp</x:v>
      </x:c>
      <x:c r="E13" s="32" t="str">
        <x:v>Detik quotes Bayan 22 Oct and KSEI 19 Oct ownership</x:v>
      </x:c>
      <x:c r="F13" s="32" t="str">
        <x:v>B</x:v>
      </x:c>
      <x:c r="G13" s="32" t="str">
        <x:v>2026-10-24</x:v>
      </x:c>
    </x:row>
    <x:row r="14" ht="32" customHeight="1">
      <x:c r="A14" s="32" t="str">
        <x:v>22OCT26_BEI</x:v>
      </x:c>
      <x:c r="B14" s="32" t="str">
        <x:v>2026-10-23</x:v>
      </x:c>
      <x:c r="C14" s="32" t="str">
        <x:v>secondary_of_Bayan_BEI_response</x:v>
      </x:c>
      <x:c r="D14" s="32" t="str">
        <x:v>https://www.idnfinancials.com/id/news/70710/transaksi-byan-disorot-bei-harga-jual-saham-ke-haji-isam-disoal</x:v>
      </x:c>
      <x:c r="E14" s="32" t="str">
        <x:v>IDNFinancials 22 Oct company response, regulator questions</x:v>
      </x:c>
      <x:c r="F14" s="32" t="str">
        <x:v>B</x:v>
      </x:c>
      <x:c r="G14" s="32" t="str">
        <x:v>2026-10-24</x:v>
      </x:c>
    </x:row>
    <x:row r="15" ht="32" customHeight="1">
      <x:c r="A15" s="32" t="str">
        <x:v>OJK_9_2018</x:v>
      </x:c>
      <x:c r="B15" s="32" t="str">
        <x:v>2018-07-27</x:v>
      </x:c>
      <x:c r="C15" s="32" t="str">
        <x:v>official_regulation</x:v>
      </x:c>
      <x:c r="D15" s="32" t="str">
        <x:v>https://ojk.go.id/id/regulasi/Pages/Pengambilalihan-Perusahaan-Terbuka.aspx</x:v>
      </x:c>
      <x:c r="E15" s="32" t="str">
        <x:v>Takeover and change of controller; direct &gt;50% or ability to determine policy</x:v>
      </x:c>
      <x:c r="F15" s="32" t="str">
        <x:v>A</x:v>
      </x:c>
      <x:c r="G15" s="32" t="str">
        <x:v>2026-10-24</x:v>
      </x:c>
    </x:row>
    <x:row r="16" ht="32" customHeight="1">
      <x:c r="A16" s="32" t="str">
        <x:v>OJK_4_2024</x:v>
      </x:c>
      <x:c r="B16" s="32" t="str">
        <x:v>2024-02-28</x:v>
      </x:c>
      <x:c r="C16" s="32" t="str">
        <x:v>official_regulation</x:v>
      </x:c>
      <x:c r="D16" s="32" t="str">
        <x:v>https://ojk.go.id/id/regulasi/Pages/POJK-4-Tahun-2024-Laporan-Kepemilikan-atau-Setiap-Perubahan-Kepemilikan-Saham-Perusahaan-Terbuka-dan-Aktivitas-Menjaminkan.aspx</x:v>
      </x:c>
      <x:c r="E16" s="32" t="str">
        <x:v>Report ownership and changes; effective six months after promulgation</x:v>
      </x:c>
      <x:c r="F16" s="32" t="str">
        <x:v>A</x:v>
      </x:c>
      <x:c r="G16" s="32" t="str">
        <x:v>2026-10-24</x:v>
      </x:c>
    </x:row>
    <x:row r="17" ht="32" customHeight="1">
      <x:c r="A17" s="32" t="str">
        <x:v>DJP_PP55</x:v>
      </x:c>
      <x:c r="B17" s="32" t="str">
        <x:v>2022-12-20</x:v>
      </x:c>
      <x:c r="C17" s="32" t="str">
        <x:v>official_regulation</x:v>
      </x:c>
      <x:c r="D17" s="32" t="str">
        <x:v>https://www.pajak.go.id/en/node/90281</x:v>
      </x:c>
      <x:c r="E17" s="32" t="str">
        <x:v>PP55/2022 Articles 6 and 7 gift income-tax conditions, distinct donor/recipient</x:v>
      </x:c>
      <x:c r="F17" s="32" t="str">
        <x:v>A</x:v>
      </x:c>
      <x:c r="G17" s="32" t="str">
        <x:v>2026-10-24</x:v>
      </x:c>
    </x:row>
    <x:row r="18" ht="32" customHeight="1">
      <x:c r="A18" s="32" t="str">
        <x:v>DJP_PMK90</x:v>
      </x:c>
      <x:c r="B18" s="32" t="str">
        <x:v>2020-07-21</x:v>
      </x:c>
      <x:c r="C18" s="32" t="str">
        <x:v>official_regulation</x:v>
      </x:c>
      <x:c r="D18" s="32" t="str">
        <x:v>https://pajak.go.id/id/peraturan/bantuan-atau-sumbangan-serta-harta-hibahan-yang-dikecualikan-sebagai-objek-pajak</x:v>
      </x:c>
      <x:c r="E18" s="32" t="str">
        <x:v>PMK90/2020 applicable details to 2024, check amendments</x:v>
      </x:c>
      <x:c r="F18" s="32" t="str">
        <x:v>A</x:v>
      </x:c>
      <x:c r="G18" s="32" t="str">
        <x:v>2026-10-24</x:v>
      </x:c>
    </x:row>
    <x:row r="19" ht="32" customHeight="1">
      <x:c r="A19" s="32" t="str">
        <x:v>AR25</x:v>
      </x:c>
      <x:c r="B19" s="32" t="str">
        <x:v>2026-05-07</x:v>
      </x:c>
      <x:c r="C19" s="32" t="str">
        <x:v>primary</x:v>
      </x:c>
      <x:c r="D19" s="32" t="str">
        <x:v>https://www.bayan.com.sg/cfind/source/files/annual-report/ar-bayan-2025-website-070526.pdf</x:v>
      </x:c>
      <x:c r="E19" s="32" t="str">
        <x:v>Bayan 2025 annual report; use for family and shareholder background</x:v>
      </x:c>
      <x:c r="F19" s="32" t="str">
        <x:v>A</x:v>
      </x:c>
      <x:c r="G19" s="32" t="str">
        <x:v>2026-10-24</x:v>
      </x:c>
    </x:row>
  </x:sheetData>
  <x:pageMargins left="0.7" right="0.7" top="0.75" bottom="0.75" header="0.3" footer="0.3"/>
</x:worksheet>
</file>