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8d5c89a80b4b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9eacd8fe2b634465"/>
    <x:sheet xmlns:r="http://schemas.openxmlformats.org/officeDocument/2006/relationships" name="Dividen" sheetId="2" r:id="R266d2e696d614f68"/>
    <x:sheet xmlns:r="http://schemas.openxmlformats.org/officeDocument/2006/relationships" name="Penerima" sheetId="3" r:id="R7fe455e6b76e4a80"/>
    <x:sheet xmlns:r="http://schemas.openxmlformats.org/officeDocument/2006/relationships" name="Kepemilikan" sheetId="4" r:id="R9f39a1b3e2f54c63"/>
    <x:sheet xmlns:r="http://schemas.openxmlformats.org/officeDocument/2006/relationships" name="Sumber" sheetId="5" r:id="R7d3a4c63f8d646be"/>
    <x:sheet xmlns:r="http://schemas.openxmlformats.org/officeDocument/2006/relationships" name="Data Gaps" sheetId="6" r:id="R0c706f45cdc64f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"/>
    <x:numFmt numFmtId="202" formatCode="#,##0.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2233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2332"/>
      </x:patternFill>
    </x:fill>
    <x:fill>
      <x:patternFill patternType="solid">
        <x:fgColor rgb="FF126B78"/>
      </x:patternFill>
    </x:fill>
    <x:fill>
      <x:patternFill patternType="solid">
        <x:fgColor rgb="FFEAF2F4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617016c5364305" /><Relationship Type="http://schemas.openxmlformats.org/officeDocument/2006/relationships/theme" Target="/xl/theme/theme1.xml" Id="R27b4e513143f45c6" /><Relationship Type="http://schemas.openxmlformats.org/officeDocument/2006/relationships/sharedStrings" Target="/xl/sharedStrings.xml" Id="Rc7690f9a3a514776" /><Relationship Type="http://schemas.openxmlformats.org/officeDocument/2006/relationships/worksheet" Target="/xl/worksheets/sheet1.xml" Id="R9eacd8fe2b634465" /><Relationship Type="http://schemas.openxmlformats.org/officeDocument/2006/relationships/worksheet" Target="/xl/worksheets/sheet2.xml" Id="R266d2e696d614f68" /><Relationship Type="http://schemas.openxmlformats.org/officeDocument/2006/relationships/worksheet" Target="/xl/worksheets/sheet3.xml" Id="R7fe455e6b76e4a80" /><Relationship Type="http://schemas.openxmlformats.org/officeDocument/2006/relationships/worksheet" Target="/xl/worksheets/sheet4.xml" Id="R9f39a1b3e2f54c63" /><Relationship Type="http://schemas.openxmlformats.org/officeDocument/2006/relationships/worksheet" Target="/xl/worksheets/sheet5.xml" Id="R7d3a4c63f8d646be" /><Relationship Type="http://schemas.openxmlformats.org/officeDocument/2006/relationships/worksheet" Target="/xl/worksheets/sheet6.xml" Id="R0c706f45cdc64f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6" hidden="0" customWidth="1"/>
    <x:col min="4" max="4" width="23" hidden="0" customWidth="1"/>
    <x:col min="5" max="5" width="27" hidden="0" customWidth="1"/>
    <x:col min="6" max="6" width="27" hidden="0" customWidth="1"/>
  </x:cols>
  <x:sheetData>
    <x:row r="1" ht="27" customHeight="1">
      <x:c r="A1" s="3" t="str">
        <x:v>KALCER INVESTIGATION  |  BAYAN DIVIDEND AUDIT 2008–2026</x:v>
      </x:c>
      <x:c r="B1" s="3"/>
      <x:c r="C1" s="3"/>
      <x:c r="D1" s="3"/>
      <x:c r="E1" s="3"/>
      <x:c r="F1" s="3"/>
    </x:row>
    <x:row r="2" ht="27" customHeight="1">
      <x:c r="A2" s="3"/>
      <x:c r="B2" s="3"/>
      <x:c r="C2" s="3"/>
      <x:c r="D2" s="3"/>
      <x:c r="E2" s="3"/>
      <x:c r="F2" s="3"/>
    </x:row>
    <x:row r="4">
      <x:c r="A4" s="7" t="str">
        <x:v>METRIK / CATATAN</x:v>
      </x:c>
      <x:c r="B4" s="7" t="str">
        <x:v>NILAI / STATUS</x:v>
      </x:c>
    </x:row>
    <x:row r="5">
      <x:c r="A5" t="str">
        <x:v>Peristiwa dividen terdokumentasi</x:v>
      </x:c>
      <x:c r="B5" s="18" t="n">
        <x:f>COUNTA(Dividen!A2:A15)</x:f>
        <x:v>14</x:v>
      </x:c>
    </x:row>
    <x:row r="6">
      <x:c r="A6" t="str">
        <x:v>Total dividen USD 2018–2026</x:v>
      </x:c>
      <x:c r="B6" s="18" t="n">
        <x:f>SUM(Dividen!H4:H15)</x:f>
        <x:v>5616666925</x:v>
      </x:c>
    </x:row>
    <x:row r="7">
      <x:c r="A7" t="str">
        <x:v>Total dividen USD 2021–2025</x:v>
      </x:c>
      <x:c r="B7" s="18" t="n">
        <x:f>SUM(Dividen!H7:H14)</x:f>
        <x:v>4600000230</x:v>
      </x:c>
    </x:row>
    <x:row r="8">
      <x:c r="A8" t="str">
        <x:v>Saham Elaine Low</x:v>
      </x:c>
      <x:c r="B8" s="18" t="n">
        <x:v>7333833700</x:v>
      </x:c>
    </x:row>
    <x:row r="9">
      <x:c r="A9" t="str">
        <x:v>Hak dividen bruto Elaine 2025–2026 (IDR)</x:v>
      </x:c>
      <x:c r="B9" s="18" t="n">
        <x:f>SUM(F16:F18)</x:f>
        <x:v>4451820401742.5</x:v>
      </x:c>
    </x:row>
    <x:row r="10">
      <x:c r="A10" t="str">
        <x:v>Hak dividen bruto Elaine 2025–2026 (USD)</x:v>
      </x:c>
      <x:c r="B10" s="18" t="n">
        <x:f>SUM(E16:E18)</x:f>
        <x:v>264018013.20000002</x:v>
      </x:c>
    </x:row>
    <x:row r="11">
      <x:c r="A11" t="str">
        <x:v>Rekonstruksi Low 2021–2026</x:v>
      </x:c>
      <x:c r="B11" s="18" t="n">
        <x:v>2848214476.38</x:v>
      </x:c>
    </x:row>
    <x:row r="13">
      <x:c r="A13" s="10" t="str">
        <x:v>DETAIL ELAINE LOW — PERHITUNGAN HAK DIVIDEN BRUTO (BUKAN BUKTI TRANSFER)</x:v>
      </x:c>
      <x:c r="B13" s="10"/>
      <x:c r="C13" s="10"/>
      <x:c r="D13" s="10"/>
      <x:c r="E13" s="10"/>
      <x:c r="F13" s="10"/>
    </x:row>
    <x:row r="15">
      <x:c r="A15" s="7" t="str">
        <x:v>Payment Date</x:v>
      </x:c>
      <x:c r="B15" s="7" t="str">
        <x:v>Shares</x:v>
      </x:c>
      <x:c r="C15" s="7" t="str">
        <x:v>DPS IDR</x:v>
      </x:c>
      <x:c r="D15" s="7" t="str">
        <x:v>Total Dividend USD</x:v>
      </x:c>
      <x:c r="E15" s="7" t="str">
        <x:v>Hak USD estimasi</x:v>
      </x:c>
      <x:c r="F15" s="7" t="str">
        <x:v>Hak IDR formula</x:v>
      </x:c>
    </x:row>
    <x:row r="16">
      <x:c r="A16" t="str">
        <x:v>2025-01-08</x:v>
      </x:c>
      <x:c r="B16" s="20" t="n">
        <x:v>7333833700</x:v>
      </x:c>
      <x:c r="C16" s="22" t="n">
        <x:v>144.9</x:v>
      </x:c>
      <x:c r="D16" s="18" t="n">
        <x:v>300000015</x:v>
      </x:c>
      <x:c r="E16" s="18" t="n">
        <x:f>B16/33333335000*D16</x:f>
        <x:v>66004503.300000004</x:v>
      </x:c>
      <x:c r="F16" s="18" t="n">
        <x:f>B16*C16</x:f>
        <x:v>1062672503130</x:v>
      </x:c>
    </x:row>
    <x:row r="17">
      <x:c r="A17" t="str">
        <x:v>2025-07-23</x:v>
      </x:c>
      <x:c r="B17" s="20" t="n">
        <x:v>7333833700</x:v>
      </x:c>
      <x:c r="C17" s="22" t="n">
        <x:v>194.84</x:v>
      </x:c>
      <x:c r="D17" s="18" t="n">
        <x:v>400000020</x:v>
      </x:c>
      <x:c r="E17" s="18" t="n">
        <x:f>B17/33333335000*D17</x:f>
        <x:v>88006004.4</x:v>
      </x:c>
      <x:c r="F17" s="18" t="n">
        <x:f>B17*C17</x:f>
        <x:v>1428924158108</x:v>
      </x:c>
    </x:row>
    <x:row r="18">
      <x:c r="A18" t="str">
        <x:v>2026-07-08</x:v>
      </x:c>
      <x:c r="B18" s="20" t="n">
        <x:v>7333833700</x:v>
      </x:c>
      <x:c r="C18" s="22" t="n">
        <x:v>267.285</x:v>
      </x:c>
      <x:c r="D18" s="18" t="n">
        <x:v>500000025</x:v>
      </x:c>
      <x:c r="E18" s="18" t="n">
        <x:f>B18/33333335000*D18</x:f>
        <x:v>110007505.5</x:v>
      </x:c>
      <x:c r="F18" s="18" t="n">
        <x:f>B18*C18</x:f>
        <x:v>1960223740504.5002</x:v>
      </x:c>
    </x:row>
    <x:row r="20">
      <x:c r="A20" s="14" t="str">
        <x:v>Catatan: Angka individual memakai proxy kepemilikan, bukan rekening penerimaan atau bukti transfer ke Singapura. Dividen 2011/12 belum dikonversi USD.</x:v>
      </x:c>
      <x:c r="B20" s="14"/>
      <x:c r="C20" s="14"/>
      <x:c r="D20" s="14"/>
      <x:c r="E20" s="14"/>
      <x:c r="F20" s="14"/>
    </x:row>
    <x:row r="21">
      <x:c r="A21" s="14"/>
      <x:c r="B21" s="14"/>
      <x:c r="C21" s="14"/>
      <x:c r="D21" s="14"/>
      <x:c r="E21" s="14"/>
      <x:c r="F21" s="14"/>
    </x:row>
  </x:sheetData>
  <x:mergeCells>
    <x:mergeCell ref="A1:F2"/>
    <x:mergeCell ref="A13:F13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1" hidden="0" customWidth="1"/>
    <x:col min="4" max="4" width="15" hidden="0" customWidth="1"/>
    <x:col min="5" max="5" width="15" hidden="0" customWidth="1"/>
    <x:col min="6" max="6" width="24" hidden="0" customWidth="1"/>
    <x:col min="7" max="7" width="22" hidden="0" customWidth="1"/>
    <x:col min="8" max="8" width="22" hidden="0" customWidth="1"/>
    <x:col min="9" max="9" width="25" hidden="0" customWidth="1"/>
    <x:col min="10" max="10" width="55" hidden="0" customWidth="1"/>
  </x:cols>
  <x:sheetData>
    <x:row r="1" ht="32" customHeight="1">
      <x:c r="A1" s="24" t="str">
        <x:v>event_id</x:v>
      </x:c>
      <x:c r="B1" s="24" t="str">
        <x:v>fiscal_year</x:v>
      </x:c>
      <x:c r="C1" s="24" t="str">
        <x:v>kind</x:v>
      </x:c>
      <x:c r="D1" s="24" t="str">
        <x:v>recording_date</x:v>
      </x:c>
      <x:c r="E1" s="24" t="str">
        <x:v>payment_date</x:v>
      </x:c>
      <x:c r="F1" s="24" t="str">
        <x:v>shares_outstanding_at_event</x:v>
      </x:c>
      <x:c r="G1" s="24" t="str">
        <x:v>dividend_per_share_idr</x:v>
      </x:c>
      <x:c r="H1" s="24" t="str">
        <x:v>dividend_total_usd</x:v>
      </x:c>
      <x:c r="I1" s="24" t="str">
        <x:v>calculated_total_idr</x:v>
      </x:c>
      <x:c r="J1" s="24" t="str">
        <x:v>primary_source_url</x:v>
      </x:c>
    </x:row>
    <x:row r="2">
      <x:c r="A2" t="str">
        <x:v>D2011</x:v>
      </x:c>
      <x:c r="B2" t="str">
        <x:v>2010</x:v>
      </x:c>
      <x:c r="C2" t="str">
        <x:v>final</x:v>
      </x:c>
      <x:c r="D2" t="str">
        <x:v>2011-06-30</x:v>
      </x:c>
      <x:c r="E2" t="str">
        <x:v>2011-07-13</x:v>
      </x:c>
      <x:c r="F2" s="20" t="n">
        <x:v>3333333500</x:v>
      </x:c>
      <x:c r="G2" s="18" t="n">
        <x:v>80</x:v>
      </x:c>
      <x:c r="H2" s="20" t="str"/>
      <x:c r="I2" s="20" t="n">
        <x:v>266666680000</x:v>
      </x:c>
      <x:c r="J2" t="str">
        <x:v>https://cdn.indonesia-investments.com/bedrijfsprofiel/2399/Bayan-Resources-Annual-Report-2014-Laporan-Tahunan-Company-Profile-BYAN-Indonesia-Investments.pdf</x:v>
      </x:c>
    </x:row>
    <x:row r="3">
      <x:c r="A3" t="str">
        <x:v>D2012</x:v>
      </x:c>
      <x:c r="B3" t="str">
        <x:v>2011</x:v>
      </x:c>
      <x:c r="C3" t="str">
        <x:v>final</x:v>
      </x:c>
      <x:c r="D3" t="str">
        <x:v>2012-06-28</x:v>
      </x:c>
      <x:c r="E3" t="str">
        <x:v>2012-07-12</x:v>
      </x:c>
      <x:c r="F3" s="20" t="n">
        <x:v>3333333500</x:v>
      </x:c>
      <x:c r="G3" s="18" t="n">
        <x:v>200</x:v>
      </x:c>
      <x:c r="H3" s="20" t="str"/>
      <x:c r="I3" s="20" t="n">
        <x:v>666666700000</x:v>
      </x:c>
      <x:c r="J3" t="str">
        <x:v>https://cdn.indonesia-investments.com/bedrijfsprofiel/2399/Bayan-Resources-Annual-Report-2014-Laporan-Tahunan-Company-Profile-BYAN-Indonesia-Investments.pdf</x:v>
      </x:c>
    </x:row>
    <x:row r="4">
      <x:c r="A4" t="str">
        <x:v>D2018</x:v>
      </x:c>
      <x:c r="B4" t="str">
        <x:v>2017</x:v>
      </x:c>
      <x:c r="C4" t="str">
        <x:v>final</x:v>
      </x:c>
      <x:c r="D4" t="str">
        <x:v>2018-06-21</x:v>
      </x:c>
      <x:c r="E4" t="str">
        <x:v>2018-06-29</x:v>
      </x:c>
      <x:c r="F4" s="20" t="n">
        <x:v>3333333500</x:v>
      </x:c>
      <x:c r="G4" s="18" t="n">
        <x:v>634.05</x:v>
      </x:c>
      <x:c r="H4" s="20" t="n">
        <x:v>150000000</x:v>
      </x:c>
      <x:c r="I4" s="20" t="n">
        <x:v>2113500105675</x:v>
      </x:c>
      <x:c r="J4" t="str">
        <x:v>https://www.bayan.com.sg/cfind/source/files/bayan-group-october-2020.pdf</x:v>
      </x:c>
    </x:row>
    <x:row r="5">
      <x:c r="A5" t="str">
        <x:v>D2019</x:v>
      </x:c>
      <x:c r="B5" t="str">
        <x:v>2018</x:v>
      </x:c>
      <x:c r="C5" t="str">
        <x:v>final</x:v>
      </x:c>
      <x:c r="D5" t="str">
        <x:v>2019-07-01</x:v>
      </x:c>
      <x:c r="E5" t="str">
        <x:v>2019-07-17</x:v>
      </x:c>
      <x:c r="F5" s="20" t="n">
        <x:v>3333333500</x:v>
      </x:c>
      <x:c r="G5" s="18" t="n">
        <x:v>1270.53</x:v>
      </x:c>
      <x:c r="H5" s="20" t="n">
        <x:v>300000000</x:v>
      </x:c>
      <x:c r="I5" s="20" t="n">
        <x:v>4235100211755</x:v>
      </x:c>
      <x:c r="J5" t="str">
        <x:v>https://www.bayan.com.sg/cfind/source/files/bayan-group-october-2020.pdf</x:v>
      </x:c>
    </x:row>
    <x:row r="6">
      <x:c r="A6" t="str">
        <x:v>D2020</x:v>
      </x:c>
      <x:c r="B6" t="str">
        <x:v>2019</x:v>
      </x:c>
      <x:c r="C6" t="str">
        <x:v>final</x:v>
      </x:c>
      <x:c r="D6" t="str">
        <x:v>2020-09-07</x:v>
      </x:c>
      <x:c r="E6" t="str">
        <x:v>2020-09-22</x:v>
      </x:c>
      <x:c r="F6" s="20" t="n">
        <x:v>3333333500</x:v>
      </x:c>
      <x:c r="G6" s="18" t="n">
        <x:v>295.08</x:v>
      </x:c>
      <x:c r="H6" s="20" t="n">
        <x:v>66666670</x:v>
      </x:c>
      <x:c r="I6" s="20" t="n">
        <x:v>983600049180</x:v>
      </x:c>
      <x:c r="J6" t="str">
        <x:v>https://www.bayan.com.sg/cfind/source/files/ar2020-bayan-fullset-for-web_31may-final.pdf</x:v>
      </x:c>
    </x:row>
    <x:row r="7">
      <x:c r="A7" t="str">
        <x:v>D2021</x:v>
      </x:c>
      <x:c r="B7" t="str">
        <x:v>2020</x:v>
      </x:c>
      <x:c r="C7" t="str">
        <x:v>final</x:v>
      </x:c>
      <x:c r="D7" t="str">
        <x:v>2021-06-02</x:v>
      </x:c>
      <x:c r="E7" t="str">
        <x:v>2021-06-15</x:v>
      </x:c>
      <x:c r="F7" s="20" t="n">
        <x:v>3333333500</x:v>
      </x:c>
      <x:c r="G7" s="18" t="n">
        <x:v>1286.28</x:v>
      </x:c>
      <x:c r="H7" s="20" t="n">
        <x:v>300000015</x:v>
      </x:c>
      <x:c r="I7" s="20" t="n">
        <x:v>4287600214380</x:v>
      </x:c>
      <x:c r="J7" t="str">
        <x:v>https://www.bayan.com.sg/dividend</x:v>
      </x:c>
    </x:row>
    <x:row r="8">
      <x:c r="A8" t="str">
        <x:v>D2022</x:v>
      </x:c>
      <x:c r="B8" t="str">
        <x:v>2021</x:v>
      </x:c>
      <x:c r="C8" t="str">
        <x:v>final</x:v>
      </x:c>
      <x:c r="D8" t="str">
        <x:v>2022-05-31</x:v>
      </x:c>
      <x:c r="E8" t="str">
        <x:v>2022-06-15</x:v>
      </x:c>
      <x:c r="F8" s="20" t="n">
        <x:v>3333333500</x:v>
      </x:c>
      <x:c r="G8" s="18" t="n">
        <x:v>4363.2</x:v>
      </x:c>
      <x:c r="H8" s="20" t="n">
        <x:v>1000000050</x:v>
      </x:c>
      <x:c r="I8" s="20" t="n">
        <x:v>14544000727200</x:v>
      </x:c>
      <x:c r="J8" t="str">
        <x:v>https://www.bayan.com.sg/dividend</x:v>
      </x:c>
    </x:row>
    <x:row r="9">
      <x:c r="A9" t="str">
        <x:v>D2023A</x:v>
      </x:c>
      <x:c r="B9" t="str">
        <x:v>2022</x:v>
      </x:c>
      <x:c r="C9" t="str">
        <x:v>interim</x:v>
      </x:c>
      <x:c r="D9" t="str">
        <x:v>2022-12-21</x:v>
      </x:c>
      <x:c r="E9" t="str">
        <x:v>2023-01-05</x:v>
      </x:c>
      <x:c r="F9" s="20" t="n">
        <x:v>33333335000</x:v>
      </x:c>
      <x:c r="G9" s="18" t="n">
        <x:v>468.24</x:v>
      </x:c>
      <x:c r="H9" s="20" t="n">
        <x:v>1000000050</x:v>
      </x:c>
      <x:c r="I9" s="20" t="n">
        <x:v>15608000780400</x:v>
      </x:c>
      <x:c r="J9" t="str">
        <x:v>https://www.bayan.com.sg/dividend</x:v>
      </x:c>
    </x:row>
    <x:row r="10">
      <x:c r="A10" t="str">
        <x:v>D2023B</x:v>
      </x:c>
      <x:c r="B10" t="str">
        <x:v>2022</x:v>
      </x:c>
      <x:c r="C10" t="str">
        <x:v>final</x:v>
      </x:c>
      <x:c r="D10" t="str">
        <x:v>2023-05-10</x:v>
      </x:c>
      <x:c r="E10" t="str">
        <x:v>2023-05-23</x:v>
      </x:c>
      <x:c r="F10" s="20" t="n">
        <x:v>33333335000</x:v>
      </x:c>
      <x:c r="G10" s="18" t="n">
        <x:v>354.168</x:v>
      </x:c>
      <x:c r="H10" s="20" t="n">
        <x:v>800000040</x:v>
      </x:c>
      <x:c r="I10" s="20" t="n">
        <x:v>11805600590280</x:v>
      </x:c>
      <x:c r="J10" t="str">
        <x:v>https://www.bayan.com.sg/dividend</x:v>
      </x:c>
    </x:row>
    <x:row r="11">
      <x:c r="A11" t="str">
        <x:v>D2024A</x:v>
      </x:c>
      <x:c r="B11" t="str">
        <x:v>2023</x:v>
      </x:c>
      <x:c r="C11" t="str">
        <x:v>interim</x:v>
      </x:c>
      <x:c r="D11" t="str">
        <x:v>2023-12-19</x:v>
      </x:c>
      <x:c r="E11" t="str">
        <x:v>2024-01-05</x:v>
      </x:c>
      <x:c r="F11" s="20" t="n">
        <x:v>33333335000</x:v>
      </x:c>
      <x:c r="G11" s="18" t="n">
        <x:v>232.74</x:v>
      </x:c>
      <x:c r="H11" s="20" t="n">
        <x:v>500000025</x:v>
      </x:c>
      <x:c r="I11" s="20" t="n">
        <x:v>7758000387900</x:v>
      </x:c>
      <x:c r="J11" t="str">
        <x:v>https://www.bayan.com.sg/dividend</x:v>
      </x:c>
    </x:row>
    <x:row r="12">
      <x:c r="A12" t="str">
        <x:v>D2024B</x:v>
      </x:c>
      <x:c r="B12" t="str">
        <x:v>2023</x:v>
      </x:c>
      <x:c r="C12" t="str">
        <x:v>final</x:v>
      </x:c>
      <x:c r="D12" t="str">
        <x:v>2024-07-09</x:v>
      </x:c>
      <x:c r="E12" t="str">
        <x:v>2024-07-24</x:v>
      </x:c>
      <x:c r="F12" s="20" t="n">
        <x:v>33333335000</x:v>
      </x:c>
      <x:c r="G12" s="18" t="n">
        <x:v>146.385</x:v>
      </x:c>
      <x:c r="H12" s="20" t="n">
        <x:v>300000015</x:v>
      </x:c>
      <x:c r="I12" s="20" t="n">
        <x:v>4879500243975</x:v>
      </x:c>
      <x:c r="J12" t="str">
        <x:v>https://www.bayan.com.sg/dividend</x:v>
      </x:c>
    </x:row>
    <x:row r="13">
      <x:c r="A13" t="str">
        <x:v>D2025A</x:v>
      </x:c>
      <x:c r="B13" t="str">
        <x:v>2024</x:v>
      </x:c>
      <x:c r="C13" t="str">
        <x:v>interim</x:v>
      </x:c>
      <x:c r="D13" t="str">
        <x:v>2024-12-19</x:v>
      </x:c>
      <x:c r="E13" t="str">
        <x:v>2025-01-08</x:v>
      </x:c>
      <x:c r="F13" s="20" t="n">
        <x:v>33333335000</x:v>
      </x:c>
      <x:c r="G13" s="18" t="n">
        <x:v>144.9</x:v>
      </x:c>
      <x:c r="H13" s="20" t="n">
        <x:v>300000015</x:v>
      </x:c>
      <x:c r="I13" s="20" t="n">
        <x:v>4830000241500</x:v>
      </x:c>
      <x:c r="J13" t="str">
        <x:v>https://www.bayan.com.sg/dividend</x:v>
      </x:c>
    </x:row>
    <x:row r="14">
      <x:c r="A14" t="str">
        <x:v>D2025B</x:v>
      </x:c>
      <x:c r="B14" t="str">
        <x:v>2024</x:v>
      </x:c>
      <x:c r="C14" t="str">
        <x:v>final</x:v>
      </x:c>
      <x:c r="D14" t="str">
        <x:v>2025-07-08</x:v>
      </x:c>
      <x:c r="E14" t="str">
        <x:v>2025-07-23</x:v>
      </x:c>
      <x:c r="F14" s="20" t="n">
        <x:v>33333335000</x:v>
      </x:c>
      <x:c r="G14" s="18" t="n">
        <x:v>194.84</x:v>
      </x:c>
      <x:c r="H14" s="20" t="n">
        <x:v>400000020</x:v>
      </x:c>
      <x:c r="I14" s="20" t="n">
        <x:v>6494666991400</x:v>
      </x:c>
      <x:c r="J14" t="str">
        <x:v>https://www.bayan.com.sg/dividend</x:v>
      </x:c>
    </x:row>
    <x:row r="15">
      <x:c r="A15" t="str">
        <x:v>D2026</x:v>
      </x:c>
      <x:c r="B15" t="str">
        <x:v>2025</x:v>
      </x:c>
      <x:c r="C15" t="str">
        <x:v>final</x:v>
      </x:c>
      <x:c r="D15" t="str">
        <x:v>2026-06-23</x:v>
      </x:c>
      <x:c r="E15" t="str">
        <x:v>2026-07-08</x:v>
      </x:c>
      <x:c r="F15" s="20" t="n">
        <x:v>33333335000</x:v>
      </x:c>
      <x:c r="G15" s="18" t="n">
        <x:v>267.285</x:v>
      </x:c>
      <x:c r="H15" s="20" t="n">
        <x:v>500000025</x:v>
      </x:c>
      <x:c r="I15" s="20" t="n">
        <x:v>8909500445475</x:v>
      </x:c>
      <x:c r="J15" t="str">
        <x:v>https://web.ksei.co.id/Announcement/Files/195848_ksei_15085_jku_0626_202606151724.pdf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27" hidden="0" customWidth="1"/>
    <x:col min="5" max="5" width="24" hidden="0" customWidth="1"/>
    <x:col min="6" max="6" width="18" hidden="0" customWidth="1"/>
    <x:col min="7" max="7" width="28" hidden="0" customWidth="1"/>
    <x:col min="8" max="8" width="26" hidden="0" customWidth="1"/>
    <x:col min="9" max="9" width="30" hidden="0" customWidth="1"/>
    <x:col min="10" max="10" width="55" hidden="0" customWidth="1"/>
  </x:cols>
  <x:sheetData>
    <x:row r="1" ht="32" customHeight="1">
      <x:c r="A1" s="24" t="str">
        <x:v>event_id</x:v>
      </x:c>
      <x:c r="B1" s="24" t="str">
        <x:v>holder</x:v>
      </x:c>
      <x:c r="C1" s="24" t="str">
        <x:v>recording_date</x:v>
      </x:c>
      <x:c r="D1" s="24" t="str">
        <x:v>proxy_snapshot</x:v>
      </x:c>
      <x:c r="E1" s="24" t="str">
        <x:v>estimated_record_shares</x:v>
      </x:c>
      <x:c r="F1" s="24" t="str">
        <x:v>estimated_pct</x:v>
      </x:c>
      <x:c r="G1" s="24" t="str">
        <x:v>estimated_dividend_idr</x:v>
      </x:c>
      <x:c r="H1" s="24" t="str">
        <x:v>estimated_dividend_usd</x:v>
      </x:c>
      <x:c r="I1" s="24" t="str">
        <x:v>evidence_grade</x:v>
      </x:c>
      <x:c r="J1" s="24" t="str">
        <x:v>source_url</x:v>
      </x:c>
    </x:row>
    <x:row r="2">
      <x:c r="A2" t="str">
        <x:v>D2011</x:v>
      </x:c>
      <x:c r="B2" t="str">
        <x:v>Low Tuck Kwong</x:v>
      </x:c>
      <x:c r="C2" t="str">
        <x:v>2011-06-30</x:v>
      </x:c>
      <x:c r="D2" t="str">
        <x:v>2010-12-31</x:v>
      </x:c>
      <x:c r="E2" s="20" t="n">
        <x:v>1722010000</x:v>
      </x:c>
      <x:c r="F2" s="18" t="n">
        <x:v>51.660297</x:v>
      </x:c>
      <x:c r="G2" s="20" t="n">
        <x:v>137760800000</x:v>
      </x:c>
      <x:c r="H2" s="20" t="str"/>
      <x:c r="I2" t="str">
        <x:v>C_far_proxy</x:v>
      </x:c>
      <x:c r="J2" t="str">
        <x:v>https://www.scribd.com/document/367805345/BYAN-2011</x:v>
      </x:c>
    </x:row>
    <x:row r="3">
      <x:c r="A3" t="str">
        <x:v>D2012</x:v>
      </x:c>
      <x:c r="B3" t="str">
        <x:v>Low Tuck Kwong</x:v>
      </x:c>
      <x:c r="C3" t="str">
        <x:v>2012-06-28</x:v>
      </x:c>
      <x:c r="D3" t="str">
        <x:v>2011-12-31</x:v>
      </x:c>
      <x:c r="E3" s="20" t="n">
        <x:v>1719695500</x:v>
      </x:c>
      <x:c r="F3" s="18" t="n">
        <x:v>51.590862</x:v>
      </x:c>
      <x:c r="G3" s="20" t="n">
        <x:v>343939100000</x:v>
      </x:c>
      <x:c r="H3" s="20" t="str"/>
      <x:c r="I3" t="str">
        <x:v>C_far_proxy</x:v>
      </x:c>
      <x:c r="J3" t="str">
        <x:v>https://www.scribd.com/document/367805345/BYAN-2011</x:v>
      </x:c>
    </x:row>
    <x:row r="4">
      <x:c r="A4" t="str">
        <x:v>D2018</x:v>
      </x:c>
      <x:c r="B4" t="str">
        <x:v>Low Tuck Kwong</x:v>
      </x:c>
      <x:c r="C4" t="str">
        <x:v>2018-06-21</x:v>
      </x:c>
      <x:c r="D4" t="str">
        <x:v>2015-12-31</x:v>
      </x:c>
      <x:c r="E4" s="20" t="n">
        <x:v>1719695500</x:v>
      </x:c>
      <x:c r="F4" s="18" t="n">
        <x:v>51.590862</x:v>
      </x:c>
      <x:c r="G4" s="20" t="n">
        <x:v>1090372931775</x:v>
      </x:c>
      <x:c r="H4" s="20" t="n">
        <x:v>77386293.63</x:v>
      </x:c>
      <x:c r="I4" t="str">
        <x:v>C_far_proxy</x:v>
      </x:c>
      <x:c r="J4" t="str">
        <x:v>https://d383o6qmmkn2hd.cloudfront.net/bedrijfsprofiel/2399/Bayan-Resources-Annual-Report-2015-Company-Profile-Indonesia-Investment.pdf</x:v>
      </x:c>
    </x:row>
    <x:row r="5">
      <x:c r="A5" t="str">
        <x:v>D2019</x:v>
      </x:c>
      <x:c r="B5" t="str">
        <x:v>Low Tuck Kwong</x:v>
      </x:c>
      <x:c r="C5" t="str">
        <x:v>2019-07-01</x:v>
      </x:c>
      <x:c r="D5" t="str">
        <x:v>2019-01-18</x:v>
      </x:c>
      <x:c r="E5" s="20" t="n">
        <x:v>1790967800</x:v>
      </x:c>
      <x:c r="F5" s="18" t="n">
        <x:v>53.729031</x:v>
      </x:c>
      <x:c r="G5" s="20" t="n">
        <x:v>2275478318934</x:v>
      </x:c>
      <x:c r="H5" s="20" t="n">
        <x:v>161187093.94</x:v>
      </x:c>
      <x:c r="I5" t="str">
        <x:v>C_5month_proxy</x:v>
      </x:c>
      <x:c r="J5" t="str">
        <x:v>https://legacy.pasardana.id/news/2019/1/23/low-tuck-kwong-tambah-kepemilikan-di-byan-senilai-rp460-1-miliar/</x:v>
      </x:c>
    </x:row>
    <x:row r="6">
      <x:c r="A6" t="str">
        <x:v>D2020</x:v>
      </x:c>
      <x:c r="B6" t="str">
        <x:v>Low Tuck Kwong</x:v>
      </x:c>
      <x:c r="C6" t="str">
        <x:v>2020-09-07</x:v>
      </x:c>
      <x:c r="D6" t="str">
        <x:v>2020-12-31</x:v>
      </x:c>
      <x:c r="E6" s="20" t="n">
        <x:v>1800965700</x:v>
      </x:c>
      <x:c r="F6" s="18" t="n">
        <x:v>54.028968</x:v>
      </x:c>
      <x:c r="G6" s="20" t="n">
        <x:v>531428958756</x:v>
      </x:c>
      <x:c r="H6" s="20" t="n">
        <x:v>36019314</x:v>
      </x:c>
      <x:c r="I6" t="str">
        <x:v>C_3month_proxy</x:v>
      </x:c>
      <x:c r="J6" t="str">
        <x:v>https://www.bayan.com.sg/cfind/source/files/ar2020-bayan-fullset-for-web_31may-final.pdf</x:v>
      </x:c>
    </x:row>
    <x:row r="7">
      <x:c r="A7" t="str">
        <x:v>D2021</x:v>
      </x:c>
      <x:c r="B7" t="str">
        <x:v>Low Tuck Kwong</x:v>
      </x:c>
      <x:c r="C7" t="str">
        <x:v>2021-06-02</x:v>
      </x:c>
      <x:c r="D7" t="str">
        <x:v>2021-05-28</x:v>
      </x:c>
      <x:c r="E7" s="20" t="n">
        <x:v>1834393730</x:v>
      </x:c>
      <x:c r="F7" s="18" t="n">
        <x:v>55.031809</x:v>
      </x:c>
      <x:c r="G7" s="20" t="n">
        <x:v>2359543967024.4</x:v>
      </x:c>
      <x:c r="H7" s="20" t="n">
        <x:v>165095435.7</x:v>
      </x:c>
      <x:c r="I7" t="str">
        <x:v>B_5day_proxy</x:v>
      </x:c>
      <x:c r="J7" t="str">
        <x:v>https://market.bisnis.com/read/20210531/192/1399811/sedikit-demi-sedikit-dato-low-tuck-kwong-tambah-lagi-saham-byan</x:v>
      </x:c>
    </x:row>
    <x:row r="8">
      <x:c r="A8" t="str">
        <x:v>D2022</x:v>
      </x:c>
      <x:c r="B8" t="str">
        <x:v>Low Tuck Kwong</x:v>
      </x:c>
      <x:c r="C8" t="str">
        <x:v>2022-05-31</x:v>
      </x:c>
      <x:c r="D8" t="str">
        <x:v>2022-05-31</x:v>
      </x:c>
      <x:c r="E8" s="20" t="n">
        <x:v>2039456730</x:v>
      </x:c>
      <x:c r="F8" s="18" t="n">
        <x:v>61.183699</x:v>
      </x:c>
      <x:c r="G8" s="20" t="n">
        <x:v>8898557604336</x:v>
      </x:c>
      <x:c r="H8" s="20" t="n">
        <x:v>611837019</x:v>
      </x:c>
      <x:c r="I8" t="str">
        <x:v>B_same_day_disclosure</x:v>
      </x:c>
      <x:c r="J8" t="str">
        <x:v>https://www.liputan6.com/saham/read/5000658/dirut-bayan-resources-low-tuck-kwong-lepas-107-juta-saham-byan-di-bawah-harga-pasar</x:v>
      </x:c>
    </x:row>
    <x:row r="9">
      <x:c r="A9" t="str">
        <x:v>D2023A</x:v>
      </x:c>
      <x:c r="B9" t="str">
        <x:v>Low Tuck Kwong</x:v>
      </x:c>
      <x:c r="C9" t="str">
        <x:v>2022-12-21</x:v>
      </x:c>
      <x:c r="D9" t="str">
        <x:v>2022-12-16</x:v>
      </x:c>
      <x:c r="E9" s="20" t="n">
        <x:v>20312387470</x:v>
      </x:c>
      <x:c r="F9" s="18" t="n">
        <x:v>60.937159</x:v>
      </x:c>
      <x:c r="G9" s="20" t="n">
        <x:v>9511072308952.8</x:v>
      </x:c>
      <x:c r="H9" s="20" t="n">
        <x:v>609371624.1</x:v>
      </x:c>
      <x:c r="I9" t="str">
        <x:v>B_5day_proxy</x:v>
      </x:c>
      <x:c r="J9" t="str">
        <x:v>https://market.bisnis.com/read/20221220/192/1610238/orang-terkaya-kedua-ri-getol-borong-saham-bayan-byan</x:v>
      </x:c>
    </x:row>
    <x:row r="10">
      <x:c r="A10" t="str">
        <x:v>D2023B</x:v>
      </x:c>
      <x:c r="B10" t="str">
        <x:v>Low Tuck Kwong</x:v>
      </x:c>
      <x:c r="C10" t="str">
        <x:v>2023-05-10</x:v>
      </x:c>
      <x:c r="D10" t="str">
        <x:v>2023-06-30</x:v>
      </x:c>
      <x:c r="E10" s="20" t="n">
        <x:v>20329002070</x:v>
      </x:c>
      <x:c r="F10" s="18" t="n">
        <x:v>60.987003</x:v>
      </x:c>
      <x:c r="G10" s="20" t="n">
        <x:v>7199882005127.76</x:v>
      </x:c>
      <x:c r="H10" s="20" t="n">
        <x:v>487896049.68</x:v>
      </x:c>
      <x:c r="I10" t="str">
        <x:v>C_51day_post_proxy</x:v>
      </x:c>
      <x:c r="J10" t="str">
        <x:v>https://www.indopremier.com/ipotnews/newsDetail.php?group_news=RESEARCHNEWS&amp;halaman=1&amp;jdl=Kepemilikan_Saham_30_Juni_2023_BYAN&amp;name=&amp;news_date=&amp;news_id=425281&amp;q=%2C&amp;search=y_general&amp;taging_subtype=PG002</x:v>
      </x:c>
    </x:row>
    <x:row r="11">
      <x:c r="A11" t="str">
        <x:v>D2024A</x:v>
      </x:c>
      <x:c r="B11" t="str">
        <x:v>Low Tuck Kwong</x:v>
      </x:c>
      <x:c r="C11" t="str">
        <x:v>2023-12-19</x:v>
      </x:c>
      <x:c r="D11" t="str">
        <x:v>2023-12-31</x:v>
      </x:c>
      <x:c r="E11" s="20" t="n">
        <x:v>20353317370</x:v>
      </x:c>
      <x:c r="F11" s="18" t="n">
        <x:v>61.059949</x:v>
      </x:c>
      <x:c r="G11" s="20" t="n">
        <x:v>4737031084693.8</x:v>
      </x:c>
      <x:c r="H11" s="20" t="n">
        <x:v>305299760.55</x:v>
      </x:c>
      <x:c r="I11" t="str">
        <x:v>B_12day_post_proxy</x:v>
      </x:c>
      <x:c r="J11" t="str">
        <x:v>https://www.bayan.com.sg/cfind/source/files/financial-statement/lkfs-pt-bayan-resources-tbk-0624.pdf</x:v>
      </x:c>
    </x:row>
    <x:row r="12">
      <x:c r="A12" t="str">
        <x:v>D2024A</x:v>
      </x:c>
      <x:c r="B12" t="str">
        <x:v>Low Yi Ngo</x:v>
      </x:c>
      <x:c r="C12" t="str">
        <x:v>2023-12-19</x:v>
      </x:c>
      <x:c r="D12" t="str">
        <x:v>nearby annual/interim</x:v>
      </x:c>
      <x:c r="E12" s="20" t="n">
        <x:v>61599800</x:v>
      </x:c>
      <x:c r="F12" s="18" t="n">
        <x:v>0.184799</x:v>
      </x:c>
      <x:c r="G12" s="20" t="n">
        <x:v>14336737452</x:v>
      </x:c>
      <x:c r="H12" s="20" t="n">
        <x:v>923997</x:v>
      </x:c>
      <x:c r="I12" t="str">
        <x:v>B_or_C_proxy_not_exact_record_date</x:v>
      </x:c>
      <x:c r="J12" t="str">
        <x:v>https://www.bayan.com.sg/cfind/source/files/financial-statement/lkfs-pt-bayan-resources-tbk-0624.pdf</x:v>
      </x:c>
    </x:row>
    <x:row r="13">
      <x:c r="A13" t="str">
        <x:v>D2024B</x:v>
      </x:c>
      <x:c r="B13" t="str">
        <x:v>Low Tuck Kwong</x:v>
      </x:c>
      <x:c r="C13" t="str">
        <x:v>2024-07-09</x:v>
      </x:c>
      <x:c r="D13" t="str">
        <x:v>2024-06-30</x:v>
      </x:c>
      <x:c r="E13" s="20" t="n">
        <x:v>20712004070</x:v>
      </x:c>
      <x:c r="F13" s="18" t="n">
        <x:v>62.136009</x:v>
      </x:c>
      <x:c r="G13" s="20" t="n">
        <x:v>3031926715786.95</x:v>
      </x:c>
      <x:c r="H13" s="20" t="n">
        <x:v>186408036.63</x:v>
      </x:c>
      <x:c r="I13" t="str">
        <x:v>B_9day_proxy</x:v>
      </x:c>
      <x:c r="J13" t="str">
        <x:v>https://www.bayan.com.sg/cfind/source/files/financial-statement/lkfs-pt-bayan-resources-tbk-0624.pdf</x:v>
      </x:c>
    </x:row>
    <x:row r="14">
      <x:c r="A14" t="str">
        <x:v>D2024B</x:v>
      </x:c>
      <x:c r="B14" t="str">
        <x:v>Low Yi Ngo</x:v>
      </x:c>
      <x:c r="C14" t="str">
        <x:v>2024-07-09</x:v>
      </x:c>
      <x:c r="D14" t="str">
        <x:v>nearby annual/interim</x:v>
      </x:c>
      <x:c r="E14" s="20" t="n">
        <x:v>61614800</x:v>
      </x:c>
      <x:c r="F14" s="18" t="n">
        <x:v>0.184844</x:v>
      </x:c>
      <x:c r="G14" s="20" t="n">
        <x:v>9019482498</x:v>
      </x:c>
      <x:c r="H14" s="20" t="n">
        <x:v>554533.2</x:v>
      </x:c>
      <x:c r="I14" t="str">
        <x:v>B_or_C_proxy_not_exact_record_date</x:v>
      </x:c>
      <x:c r="J14" t="str">
        <x:v>https://www.bayan.com.sg/cfind/source/files/financial-statement/lkfs-pt-bayan-resources-tbk-0624.pdf</x:v>
      </x:c>
    </x:row>
    <x:row r="15">
      <x:c r="A15" t="str">
        <x:v>D2025A</x:v>
      </x:c>
      <x:c r="B15" t="str">
        <x:v>Low Tuck Kwong</x:v>
      </x:c>
      <x:c r="C15" t="str">
        <x:v>2024-12-19</x:v>
      </x:c>
      <x:c r="D15" t="str">
        <x:v>2024-11-30</x:v>
      </x:c>
      <x:c r="E15" s="20" t="n">
        <x:v>13387949270</x:v>
      </x:c>
      <x:c r="F15" s="18" t="n">
        <x:v>40.163846</x:v>
      </x:c>
      <x:c r="G15" s="20" t="n">
        <x:v>1939913849223</x:v>
      </x:c>
      <x:c r="H15" s="20" t="n">
        <x:v>120491543.43</x:v>
      </x:c>
      <x:c r="I15" t="str">
        <x:v>B_19day_proxy</x:v>
      </x:c>
      <x:c r="J15" t="str">
        <x:v>https://www.ipotnews.com/ipotnews/newsDetail.php?group_news=RESEARCHNEWS&amp;halaman=1&amp;jdl=Kepemilikan_Saham_30_November_2024_BYAN&amp;name=&amp;news_id=456430&amp;q=%2C&amp;search=y_general&amp;taging_subtype=PG002</x:v>
      </x:c>
    </x:row>
    <x:row r="16">
      <x:c r="A16" t="str">
        <x:v>D2025A</x:v>
      </x:c>
      <x:c r="B16" t="str">
        <x:v>Elaine Low</x:v>
      </x:c>
      <x:c r="C16" t="str">
        <x:v>2024-12-19</x:v>
      </x:c>
      <x:c r="D16" t="str">
        <x:v>2024-11-30/2025-06-30/2026-05-31</x:v>
      </x:c>
      <x:c r="E16" s="20" t="n">
        <x:v>7333833700</x:v>
      </x:c>
      <x:c r="F16" s="18" t="n">
        <x:v>22.0015</x:v>
      </x:c>
      <x:c r="G16" s="20" t="n">
        <x:v>1062672503130</x:v>
      </x:c>
      <x:c r="H16" s="20" t="n">
        <x:v>66004503.3</x:v>
      </x:c>
      <x:c r="I16" t="str">
        <x:v>B_stable_multiple_snapshots</x:v>
      </x:c>
      <x:c r="J16" t="str">
        <x:v>https://financialfilings.com/filings/bayan-resources-tbk/annual-report/2026/57427248/</x:v>
      </x:c>
    </x:row>
    <x:row r="17">
      <x:c r="A17" t="str">
        <x:v>D2025A</x:v>
      </x:c>
      <x:c r="B17" t="str">
        <x:v>Low Yi Ngo</x:v>
      </x:c>
      <x:c r="C17" t="str">
        <x:v>2024-12-19</x:v>
      </x:c>
      <x:c r="D17" t="str">
        <x:v>nearby annual/interim</x:v>
      </x:c>
      <x:c r="E17" s="20" t="n">
        <x:v>61614800</x:v>
      </x:c>
      <x:c r="F17" s="18" t="n">
        <x:v>0.184844</x:v>
      </x:c>
      <x:c r="G17" s="20" t="n">
        <x:v>8927984520</x:v>
      </x:c>
      <x:c r="H17" s="20" t="n">
        <x:v>554533.2</x:v>
      </x:c>
      <x:c r="I17" t="str">
        <x:v>B_or_C_proxy_not_exact_record_date</x:v>
      </x:c>
      <x:c r="J17" t="str">
        <x:v>https://www.bayan.com.sg/cfind/source/files/financial-statement/lkfs-pt-bayan-resources-tbk-0624.pdf</x:v>
      </x:c>
    </x:row>
    <x:row r="18">
      <x:c r="A18" t="str">
        <x:v>D2025B</x:v>
      </x:c>
      <x:c r="B18" t="str">
        <x:v>Low Tuck Kwong</x:v>
      </x:c>
      <x:c r="C18" t="str">
        <x:v>2025-07-08</x:v>
      </x:c>
      <x:c r="D18" t="str">
        <x:v>2025-06-30</x:v>
      </x:c>
      <x:c r="E18" s="20" t="n">
        <x:v>13385098270</x:v>
      </x:c>
      <x:c r="F18" s="18" t="n">
        <x:v>40.155293</x:v>
      </x:c>
      <x:c r="G18" s="20" t="n">
        <x:v>2607952546926.8</x:v>
      </x:c>
      <x:c r="H18" s="20" t="n">
        <x:v>160621179.24</x:v>
      </x:c>
      <x:c r="I18" t="str">
        <x:v>B_8day_proxy</x:v>
      </x:c>
      <x:c r="J18" t="str">
        <x:v>https://id.scribd.com/document/989817824/LKFS-PT-Bayan-Resources-Tbk-0625</x:v>
      </x:c>
    </x:row>
    <x:row r="19">
      <x:c r="A19" t="str">
        <x:v>D2025B</x:v>
      </x:c>
      <x:c r="B19" t="str">
        <x:v>Elaine Low</x:v>
      </x:c>
      <x:c r="C19" t="str">
        <x:v>2025-07-08</x:v>
      </x:c>
      <x:c r="D19" t="str">
        <x:v>2024-11-30/2025-06-30/2026-05-31</x:v>
      </x:c>
      <x:c r="E19" s="20" t="n">
        <x:v>7333833700</x:v>
      </x:c>
      <x:c r="F19" s="18" t="n">
        <x:v>22.0015</x:v>
      </x:c>
      <x:c r="G19" s="20" t="n">
        <x:v>1428924158108</x:v>
      </x:c>
      <x:c r="H19" s="20" t="n">
        <x:v>88006004.4</x:v>
      </x:c>
      <x:c r="I19" t="str">
        <x:v>B_stable_multiple_snapshots</x:v>
      </x:c>
      <x:c r="J19" t="str">
        <x:v>https://financialfilings.com/filings/bayan-resources-tbk/annual-report/2026/57427248/</x:v>
      </x:c>
    </x:row>
    <x:row r="20">
      <x:c r="A20" t="str">
        <x:v>D2025B</x:v>
      </x:c>
      <x:c r="B20" t="str">
        <x:v>Low Yi Ngo</x:v>
      </x:c>
      <x:c r="C20" t="str">
        <x:v>2025-07-08</x:v>
      </x:c>
      <x:c r="D20" t="str">
        <x:v>nearby annual/interim</x:v>
      </x:c>
      <x:c r="E20" s="20" t="n">
        <x:v>61614800</x:v>
      </x:c>
      <x:c r="F20" s="18" t="n">
        <x:v>0.184844</x:v>
      </x:c>
      <x:c r="G20" s="20" t="n">
        <x:v>12005027632</x:v>
      </x:c>
      <x:c r="H20" s="20" t="n">
        <x:v>739377.6</x:v>
      </x:c>
      <x:c r="I20" t="str">
        <x:v>B_or_C_proxy_not_exact_record_date</x:v>
      </x:c>
      <x:c r="J20" t="str">
        <x:v>https://www.bayan.com.sg/cfind/source/files/financial-statement/lkfs-pt-bayan-resources-tbk-0624.pdf</x:v>
      </x:c>
    </x:row>
    <x:row r="21">
      <x:c r="A21" t="str">
        <x:v>D2026</x:v>
      </x:c>
      <x:c r="B21" t="str">
        <x:v>Low Tuck Kwong</x:v>
      </x:c>
      <x:c r="C21" t="str">
        <x:v>2026-06-23</x:v>
      </x:c>
      <x:c r="D21" t="str">
        <x:v>2026-05-31</x:v>
      </x:c>
      <x:c r="E21" s="20" t="n">
        <x:v>13412921870</x:v>
      </x:c>
      <x:c r="F21" s="18" t="n">
        <x:v>40.238764</x:v>
      </x:c>
      <x:c r="G21" s="20" t="n">
        <x:v>3585072822022.95</x:v>
      </x:c>
      <x:c r="H21" s="20" t="n">
        <x:v>201193828.05</x:v>
      </x:c>
      <x:c r="I21" t="str">
        <x:v>B_23day_proxy</x:v>
      </x:c>
      <x:c r="J21" t="str">
        <x:v>https://pasardana.id/news/2026/5/19/aksi-borong-saham-byan-berlanjut-low-tuck-kwong-naikkan-porsi-kepemilikan-jadi-40-24</x:v>
      </x:c>
    </x:row>
    <x:row r="22">
      <x:c r="A22" t="str">
        <x:v>D2026</x:v>
      </x:c>
      <x:c r="B22" t="str">
        <x:v>Elaine Low</x:v>
      </x:c>
      <x:c r="C22" t="str">
        <x:v>2026-06-23</x:v>
      </x:c>
      <x:c r="D22" t="str">
        <x:v>2024-11-30/2025-06-30/2026-05-31</x:v>
      </x:c>
      <x:c r="E22" s="20" t="n">
        <x:v>7333833700</x:v>
      </x:c>
      <x:c r="F22" s="18" t="n">
        <x:v>22.0015</x:v>
      </x:c>
      <x:c r="G22" s="20" t="n">
        <x:v>1960223740504.5</x:v>
      </x:c>
      <x:c r="H22" s="20" t="n">
        <x:v>110007505.5</x:v>
      </x:c>
      <x:c r="I22" t="str">
        <x:v>B_stable_multiple_snapshots</x:v>
      </x:c>
      <x:c r="J22" t="str">
        <x:v>https://financialfilings.com/filings/bayan-resources-tbk/annual-report/2026/57427248/</x:v>
      </x:c>
    </x:row>
    <x:row r="23">
      <x:c r="A23" t="str">
        <x:v>D2026</x:v>
      </x:c>
      <x:c r="B23" t="str">
        <x:v>Low Yi Ngo</x:v>
      </x:c>
      <x:c r="C23" t="str">
        <x:v>2026-06-23</x:v>
      </x:c>
      <x:c r="D23" t="str">
        <x:v>nearby annual/interim</x:v>
      </x:c>
      <x:c r="E23" s="20" t="n">
        <x:v>62364800</x:v>
      </x:c>
      <x:c r="F23" s="18" t="n">
        <x:v>0.187094</x:v>
      </x:c>
      <x:c r="G23" s="20" t="n">
        <x:v>16669175568</x:v>
      </x:c>
      <x:c r="H23" s="20" t="n">
        <x:v>935472</x:v>
      </x:c>
      <x:c r="I23" t="str">
        <x:v>B_or_C_proxy_not_exact_record_date</x:v>
      </x:c>
      <x:c r="J23" t="str">
        <x:v>https://www.bayan.com.sg/cfind/source/files/financial-statement/lkfs-pt-bayan-resources-tbk-0624.pdf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5" hidden="0" customWidth="1"/>
    <x:col min="4" max="4" width="25" hidden="0" customWidth="1"/>
    <x:col min="5" max="5" width="19" hidden="0" customWidth="1"/>
    <x:col min="6" max="6" width="27" hidden="0" customWidth="1"/>
    <x:col min="7" max="7" width="55" hidden="0" customWidth="1"/>
  </x:cols>
  <x:sheetData>
    <x:row r="1" ht="32" customHeight="1">
      <x:c r="A1" s="24" t="str">
        <x:v>snapshot_date</x:v>
      </x:c>
      <x:c r="B1" s="24" t="str">
        <x:v>holder</x:v>
      </x:c>
      <x:c r="C1" s="24" t="str">
        <x:v>shares</x:v>
      </x:c>
      <x:c r="D1" s="24" t="str">
        <x:v>total_shares</x:v>
      </x:c>
      <x:c r="E1" s="24" t="str">
        <x:v>ownership_pct</x:v>
      </x:c>
      <x:c r="F1" s="24" t="str">
        <x:v>source_type</x:v>
      </x:c>
      <x:c r="G1" s="24" t="str">
        <x:v>source_url</x:v>
      </x:c>
    </x:row>
    <x:row r="2">
      <x:c r="A2" t="str">
        <x:v>2009-12-31</x:v>
      </x:c>
      <x:c r="B2" t="str">
        <x:v>Low Tuck Kwong</x:v>
      </x:c>
      <x:c r="C2" s="20" t="n">
        <x:v>1972180500</x:v>
      </x:c>
      <x:c r="D2" s="20" t="n">
        <x:v>3333333500</x:v>
      </x:c>
      <x:c r="E2" s="18" t="n">
        <x:v>59.16541</x:v>
      </x:c>
      <x:c r="F2" t="str">
        <x:v>secondary_document</x:v>
      </x:c>
      <x:c r="G2" t="str">
        <x:v>https://text-id.123dok.com/document/nzw83xv1z-coal-linked-capped-loss-swap.html</x:v>
      </x:c>
    </x:row>
    <x:row r="3">
      <x:c r="A3" t="str">
        <x:v>2010-12-31</x:v>
      </x:c>
      <x:c r="B3" t="str">
        <x:v>Low Tuck Kwong</x:v>
      </x:c>
      <x:c r="C3" s="20" t="n">
        <x:v>1722010000</x:v>
      </x:c>
      <x:c r="D3" s="20" t="n">
        <x:v>3333333500</x:v>
      </x:c>
      <x:c r="E3" s="18" t="n">
        <x:v>51.6603</x:v>
      </x:c>
      <x:c r="F3" t="str">
        <x:v>original_document_mirror</x:v>
      </x:c>
      <x:c r="G3" t="str">
        <x:v>https://www.scribd.com/document/367805345/BYAN-2011</x:v>
      </x:c>
    </x:row>
    <x:row r="4">
      <x:c r="A4" t="str">
        <x:v>2011-12-31</x:v>
      </x:c>
      <x:c r="B4" t="str">
        <x:v>Low Tuck Kwong</x:v>
      </x:c>
      <x:c r="C4" s="20" t="n">
        <x:v>1719695500</x:v>
      </x:c>
      <x:c r="D4" s="20" t="n">
        <x:v>3333333500</x:v>
      </x:c>
      <x:c r="E4" s="18" t="n">
        <x:v>51.59086</x:v>
      </x:c>
      <x:c r="F4" t="str">
        <x:v>original_document_mirror</x:v>
      </x:c>
      <x:c r="G4" t="str">
        <x:v>https://www.scribd.com/document/367805345/BYAN-2011</x:v>
      </x:c>
    </x:row>
    <x:row r="5">
      <x:c r="A5" t="str">
        <x:v>2011-12-31</x:v>
      </x:c>
      <x:c r="B5" t="str">
        <x:v>Low Yi Ngo</x:v>
      </x:c>
      <x:c r="C5" s="20" t="n">
        <x:v>5694500</x:v>
      </x:c>
      <x:c r="D5" s="20" t="n">
        <x:v>3333333500</x:v>
      </x:c>
      <x:c r="E5" s="18" t="n">
        <x:v>0.17083</x:v>
      </x:c>
      <x:c r="F5" t="str">
        <x:v>original_document_mirror</x:v>
      </x:c>
      <x:c r="G5" t="str">
        <x:v>https://www.scribd.com/document/367805345/BYAN-2011</x:v>
      </x:c>
    </x:row>
    <x:row r="6">
      <x:c r="A6" t="str">
        <x:v>2015-12-31</x:v>
      </x:c>
      <x:c r="B6" t="str">
        <x:v>Low Tuck Kwong</x:v>
      </x:c>
      <x:c r="C6" s="20" t="n">
        <x:v>1719695500</x:v>
      </x:c>
      <x:c r="D6" s="20" t="n">
        <x:v>3333333500</x:v>
      </x:c>
      <x:c r="E6" s="18" t="n">
        <x:v>51.59086</x:v>
      </x:c>
      <x:c r="F6" t="str">
        <x:v>primary_document_mirror</x:v>
      </x:c>
      <x:c r="G6" t="str">
        <x:v>https://d383o6qmmkn2hd.cloudfront.net/bedrijfsprofiel/2399/Bayan-Resources-Annual-Report-2015-Company-Profile-Indonesia-Investment.pdf</x:v>
      </x:c>
    </x:row>
    <x:row r="7">
      <x:c r="A7" t="str">
        <x:v>2019-01-18</x:v>
      </x:c>
      <x:c r="B7" t="str">
        <x:v>Low Tuck Kwong</x:v>
      </x:c>
      <x:c r="C7" s="20" t="n">
        <x:v>1790967800</x:v>
      </x:c>
      <x:c r="D7" s="20" t="n">
        <x:v>3333333500</x:v>
      </x:c>
      <x:c r="E7" s="18" t="n">
        <x:v>53.72903</x:v>
      </x:c>
      <x:c r="F7" t="str">
        <x:v>secondary_public_filing</x:v>
      </x:c>
      <x:c r="G7" t="str">
        <x:v>https://legacy.pasardana.id/news/2019/1/23/low-tuck-kwong-tambah-kepemilikan-di-byan-senilai-rp460-1-miliar/</x:v>
      </x:c>
    </x:row>
    <x:row r="8">
      <x:c r="A8" t="str">
        <x:v>2020-01-02</x:v>
      </x:c>
      <x:c r="B8" t="str">
        <x:v>Low Tuck Kwong</x:v>
      </x:c>
      <x:c r="C8" s="20" t="n">
        <x:v>1795448900</x:v>
      </x:c>
      <x:c r="D8" s="20" t="n">
        <x:v>3333333500</x:v>
      </x:c>
      <x:c r="E8" s="18" t="n">
        <x:v>53.86346</x:v>
      </x:c>
      <x:c r="F8" t="str">
        <x:v>primary</x:v>
      </x:c>
      <x:c r="G8" t="str">
        <x:v>https://www.bayan.com.sg/cfind/source/files/ar2020-bayan-fullset-for-web_31may-final.pdf</x:v>
      </x:c>
    </x:row>
    <x:row r="9">
      <x:c r="A9" t="str">
        <x:v>2020-12-31</x:v>
      </x:c>
      <x:c r="B9" t="str">
        <x:v>Low Tuck Kwong</x:v>
      </x:c>
      <x:c r="C9" s="20" t="n">
        <x:v>1800965700</x:v>
      </x:c>
      <x:c r="D9" s="20" t="n">
        <x:v>3333333500</x:v>
      </x:c>
      <x:c r="E9" s="18" t="n">
        <x:v>54.02897</x:v>
      </x:c>
      <x:c r="F9" t="str">
        <x:v>primary</x:v>
      </x:c>
      <x:c r="G9" t="str">
        <x:v>https://www.bayan.com.sg/cfind/source/files/ar2020-bayan-fullset-for-web_31may-final.pdf</x:v>
      </x:c>
    </x:row>
    <x:row r="10">
      <x:c r="A10" t="str">
        <x:v>2021-05-28</x:v>
      </x:c>
      <x:c r="B10" t="str">
        <x:v>Low Tuck Kwong</x:v>
      </x:c>
      <x:c r="C10" s="20" t="n">
        <x:v>1834393730</x:v>
      </x:c>
      <x:c r="D10" s="20" t="n">
        <x:v>3333333500</x:v>
      </x:c>
      <x:c r="E10" s="18" t="n">
        <x:v>55.03181</x:v>
      </x:c>
      <x:c r="F10" t="str">
        <x:v>secondary_public_filing</x:v>
      </x:c>
      <x:c r="G10" t="str">
        <x:v>https://market.bisnis.com/read/20210531/192/1399811/sedikit-demi-sedikit-dato-low-tuck-kwong-tambah-lagi-saham-byan</x:v>
      </x:c>
    </x:row>
    <x:row r="11">
      <x:c r="A11" t="str">
        <x:v>2021-12-31</x:v>
      </x:c>
      <x:c r="B11" t="str">
        <x:v>Low Tuck Kwong</x:v>
      </x:c>
      <x:c r="C11" s="20" t="n">
        <x:v>1839827930</x:v>
      </x:c>
      <x:c r="D11" s="20" t="n">
        <x:v>3333333500</x:v>
      </x:c>
      <x:c r="E11" s="18" t="n">
        <x:v>55.19484</x:v>
      </x:c>
      <x:c r="F11" t="str">
        <x:v>primary</x:v>
      </x:c>
      <x:c r="G11" t="str">
        <x:v>https://www.bayan.com.sg/cfind/source/files/annual-report-byan-2021-final-ok.pdf</x:v>
      </x:c>
    </x:row>
    <x:row r="12">
      <x:c r="A12" t="str">
        <x:v>2021-12-31</x:v>
      </x:c>
      <x:c r="B12" t="str">
        <x:v>Low Yi Ngo</x:v>
      </x:c>
      <x:c r="C12" s="20" t="n">
        <x:v>5710100</x:v>
      </x:c>
      <x:c r="D12" s="20" t="n">
        <x:v>3333333500</x:v>
      </x:c>
      <x:c r="E12" s="18" t="n">
        <x:v>0.1713</x:v>
      </x:c>
      <x:c r="F12" t="str">
        <x:v>primary_document_mirror</x:v>
      </x:c>
      <x:c r="G12" t="str">
        <x:v>https://id.scribd.com/document/796579829/lkfs-pt-bayan-resources-tbk-2021</x:v>
      </x:c>
    </x:row>
    <x:row r="13">
      <x:c r="A13" t="str">
        <x:v>2022-05-31</x:v>
      </x:c>
      <x:c r="B13" t="str">
        <x:v>Low Tuck Kwong</x:v>
      </x:c>
      <x:c r="C13" s="20" t="n">
        <x:v>2039456730</x:v>
      </x:c>
      <x:c r="D13" s="20" t="n">
        <x:v>3333333500</x:v>
      </x:c>
      <x:c r="E13" s="18" t="n">
        <x:v>61.1837</x:v>
      </x:c>
      <x:c r="F13" t="str">
        <x:v>secondary_public_filing</x:v>
      </x:c>
      <x:c r="G13" t="str">
        <x:v>https://www.liputan6.com/saham/read/5000658/dirut-bayan-resources-low-tuck-kwong-lepas-107-juta-saham-byan-di-bawah-harga-pasar</x:v>
      </x:c>
    </x:row>
    <x:row r="14">
      <x:c r="A14" t="str">
        <x:v>2022-12-16</x:v>
      </x:c>
      <x:c r="B14" t="str">
        <x:v>Low Tuck Kwong</x:v>
      </x:c>
      <x:c r="C14" s="20" t="n">
        <x:v>20312387470</x:v>
      </x:c>
      <x:c r="D14" s="20" t="n">
        <x:v>33333335000</x:v>
      </x:c>
      <x:c r="E14" s="18" t="n">
        <x:v>60.93716</x:v>
      </x:c>
      <x:c r="F14" t="str">
        <x:v>secondary_public_filing</x:v>
      </x:c>
      <x:c r="G14" t="str">
        <x:v>https://market.bisnis.com/read/20221220/192/1610238/orang-terkaya-kedua-ri-getol-borong-saham-bayan-byan</x:v>
      </x:c>
    </x:row>
    <x:row r="15">
      <x:c r="A15" t="str">
        <x:v>2022-12-23</x:v>
      </x:c>
      <x:c r="B15" t="str">
        <x:v>Low Tuck Kwong</x:v>
      </x:c>
      <x:c r="C15" s="20" t="n">
        <x:v>20312775370</x:v>
      </x:c>
      <x:c r="D15" s="20" t="n">
        <x:v>33333335000</x:v>
      </x:c>
      <x:c r="E15" s="18" t="n">
        <x:v>60.93832</x:v>
      </x:c>
      <x:c r="F15" t="str">
        <x:v>secondary_public_filing</x:v>
      </x:c>
      <x:c r="G15" t="str">
        <x:v>https://katadata.co.id/finansial/korporasi/63a956183773f/low-tuck-kwong-kembali-borong-saham-bayan-byan-harga-melesat-tinggi</x:v>
      </x:c>
    </x:row>
    <x:row r="16">
      <x:c r="A16" t="str">
        <x:v>2023-06-30</x:v>
      </x:c>
      <x:c r="B16" t="str">
        <x:v>Low Tuck Kwong</x:v>
      </x:c>
      <x:c r="C16" s="20" t="n">
        <x:v>20329002070</x:v>
      </x:c>
      <x:c r="D16" s="20" t="n">
        <x:v>33333335000</x:v>
      </x:c>
      <x:c r="E16" s="18" t="n">
        <x:v>60.987</x:v>
      </x:c>
      <x:c r="F16" t="str">
        <x:v>secondary_citing_registry</x:v>
      </x:c>
      <x:c r="G16" t="str">
        <x:v>https://www.indopremier.com/ipotnews/newsDetail.php?group_news=RESEARCHNEWS&amp;halaman=1&amp;jdl=Kepemilikan_Saham_30_Juni_2023_BYAN&amp;name=&amp;news_date=&amp;news_id=425281&amp;q=%2C&amp;search=y_general&amp;taging_subtype=PG002</x:v>
      </x:c>
    </x:row>
    <x:row r="17">
      <x:c r="A17" t="str">
        <x:v>2023-12-31</x:v>
      </x:c>
      <x:c r="B17" t="str">
        <x:v>Low Tuck Kwong</x:v>
      </x:c>
      <x:c r="C17" s="20" t="n">
        <x:v>20353317370</x:v>
      </x:c>
      <x:c r="D17" s="20" t="n">
        <x:v>33333335000</x:v>
      </x:c>
      <x:c r="E17" s="18" t="n">
        <x:v>61.05995</x:v>
      </x:c>
      <x:c r="F17" t="str">
        <x:v>primary</x:v>
      </x:c>
      <x:c r="G17" t="str">
        <x:v>https://www.bayan.com.sg/cfind/source/files/financial-statement/lkfs-pt-bayan-resources-tbk-0624.pdf</x:v>
      </x:c>
    </x:row>
    <x:row r="18">
      <x:c r="A18" t="str">
        <x:v>2023-12-31</x:v>
      </x:c>
      <x:c r="B18" t="str">
        <x:v>Low Yi Ngo</x:v>
      </x:c>
      <x:c r="C18" s="20" t="n">
        <x:v>61599800</x:v>
      </x:c>
      <x:c r="D18" s="20" t="n">
        <x:v>33333335000</x:v>
      </x:c>
      <x:c r="E18" s="18" t="n">
        <x:v>0.1848</x:v>
      </x:c>
      <x:c r="F18" t="str">
        <x:v>primary</x:v>
      </x:c>
      <x:c r="G18" t="str">
        <x:v>https://www.bayan.com.sg/cfind/source/files/financial-statement/lkfs-pt-bayan-resources-tbk-0624.pdf</x:v>
      </x:c>
    </x:row>
    <x:row r="19">
      <x:c r="A19" t="str">
        <x:v>2024-06-30</x:v>
      </x:c>
      <x:c r="B19" t="str">
        <x:v>Low Tuck Kwong</x:v>
      </x:c>
      <x:c r="C19" s="20" t="n">
        <x:v>20712004070</x:v>
      </x:c>
      <x:c r="D19" s="20" t="n">
        <x:v>33333335000</x:v>
      </x:c>
      <x:c r="E19" s="18" t="n">
        <x:v>62.13601</x:v>
      </x:c>
      <x:c r="F19" t="str">
        <x:v>primary</x:v>
      </x:c>
      <x:c r="G19" t="str">
        <x:v>https://www.bayan.com.sg/cfind/source/files/financial-statement/lkfs-pt-bayan-resources-tbk-0624.pdf</x:v>
      </x:c>
    </x:row>
    <x:row r="20">
      <x:c r="A20" t="str">
        <x:v>2024-06-30</x:v>
      </x:c>
      <x:c r="B20" t="str">
        <x:v>Low Yi Ngo</x:v>
      </x:c>
      <x:c r="C20" s="20" t="n">
        <x:v>61614800</x:v>
      </x:c>
      <x:c r="D20" s="20" t="n">
        <x:v>33333335000</x:v>
      </x:c>
      <x:c r="E20" s="18" t="n">
        <x:v>0.18484</x:v>
      </x:c>
      <x:c r="F20" t="str">
        <x:v>primary</x:v>
      </x:c>
      <x:c r="G20" t="str">
        <x:v>https://www.bayan.com.sg/cfind/source/files/financial-statement/lkfs-pt-bayan-resources-tbk-0624.pdf</x:v>
      </x:c>
    </x:row>
    <x:row r="21">
      <x:c r="A21" t="str">
        <x:v>2024-08-28</x:v>
      </x:c>
      <x:c r="B21" t="str">
        <x:v>Elaine Low</x:v>
      </x:c>
      <x:c r="C21" s="20" t="n">
        <x:v>7333833700</x:v>
      </x:c>
      <x:c r="D21" s="20" t="n">
        <x:v>33333335000</x:v>
      </x:c>
      <x:c r="E21" s="18" t="n">
        <x:v>22.0015</x:v>
      </x:c>
      <x:c r="F21" t="str">
        <x:v>secondary_public_disclosure</x:v>
      </x:c>
      <x:c r="G21" t="str">
        <x:v>https://katadata.co.id/finansial/bursa/6ad9d49f02b5f/profil-elaine-low-warga-singapura-pemilik-22-saham-byan-putri-low-tuck-kwong</x:v>
      </x:c>
    </x:row>
    <x:row r="22">
      <x:c r="A22" t="str">
        <x:v>2024-11-30</x:v>
      </x:c>
      <x:c r="B22" t="str">
        <x:v>Low Tuck Kwong</x:v>
      </x:c>
      <x:c r="C22" s="20" t="n">
        <x:v>13387949270</x:v>
      </x:c>
      <x:c r="D22" s="20" t="n">
        <x:v>33333335000</x:v>
      </x:c>
      <x:c r="E22" s="18" t="n">
        <x:v>40.16385</x:v>
      </x:c>
      <x:c r="F22" t="str">
        <x:v>secondary_citing_registry</x:v>
      </x:c>
      <x:c r="G22" t="str">
        <x:v>https://www.ipotnews.com/ipotnews/newsDetail.php?group_news=RESEARCHNEWS&amp;halaman=1&amp;jdl=Kepemilikan_Saham_30_November_2024_BYAN&amp;name=&amp;news_id=456430&amp;q=%2C&amp;search=y_general&amp;taging_subtype=PG002</x:v>
      </x:c>
    </x:row>
    <x:row r="23">
      <x:c r="A23" t="str">
        <x:v>2024-11-30</x:v>
      </x:c>
      <x:c r="B23" t="str">
        <x:v>Elaine Low</x:v>
      </x:c>
      <x:c r="C23" s="20" t="n">
        <x:v>7333833700</x:v>
      </x:c>
      <x:c r="D23" s="20" t="n">
        <x:v>33333335000</x:v>
      </x:c>
      <x:c r="E23" s="18" t="n">
        <x:v>22.0015</x:v>
      </x:c>
      <x:c r="F23" t="str">
        <x:v>secondary_citing_registry</x:v>
      </x:c>
      <x:c r="G23" t="str">
        <x:v>https://www.ipotnews.com/ipotnews/newsDetail.php?group_news=RESEARCHNEWS&amp;halaman=1&amp;jdl=Kepemilikan_Saham_30_November_2024_BYAN&amp;name=&amp;news_id=456430&amp;q=%2C&amp;search=y_general&amp;taging_subtype=PG002</x:v>
      </x:c>
    </x:row>
    <x:row r="24">
      <x:c r="A24" t="str">
        <x:v>2024-12-31</x:v>
      </x:c>
      <x:c r="B24" t="str">
        <x:v>Low Tuck Kwong</x:v>
      </x:c>
      <x:c r="C24" s="20" t="n">
        <x:v>13389835770</x:v>
      </x:c>
      <x:c r="D24" s="20" t="n">
        <x:v>33333335000</x:v>
      </x:c>
      <x:c r="E24" s="18" t="n">
        <x:v>40.16951</x:v>
      </x:c>
      <x:c r="F24" t="str">
        <x:v>primary</x:v>
      </x:c>
      <x:c r="G24" t="str">
        <x:v>https://financialfilings.com/filings/bayan-resources-tbk/annual-report/2026/57427248/</x:v>
      </x:c>
    </x:row>
    <x:row r="25">
      <x:c r="A25" t="str">
        <x:v>2024-12-31</x:v>
      </x:c>
      <x:c r="B25" t="str">
        <x:v>Elaine Low</x:v>
      </x:c>
      <x:c r="C25" s="20" t="n">
        <x:v>7333833700</x:v>
      </x:c>
      <x:c r="D25" s="20" t="n">
        <x:v>33333335000</x:v>
      </x:c>
      <x:c r="E25" s="18" t="n">
        <x:v>22.0015</x:v>
      </x:c>
      <x:c r="F25" t="str">
        <x:v>primary</x:v>
      </x:c>
      <x:c r="G25" t="str">
        <x:v>https://financialfilings.com/filings/bayan-resources-tbk/annual-report/2026/57427248/</x:v>
      </x:c>
    </x:row>
    <x:row r="26">
      <x:c r="A26" t="str">
        <x:v>2024-12-31</x:v>
      </x:c>
      <x:c r="B26" t="str">
        <x:v>Low Yi Ngo</x:v>
      </x:c>
      <x:c r="C26" s="20" t="n">
        <x:v>61614800</x:v>
      </x:c>
      <x:c r="D26" s="20" t="n">
        <x:v>33333335000</x:v>
      </x:c>
      <x:c r="E26" s="18" t="n">
        <x:v>0.18484</x:v>
      </x:c>
      <x:c r="F26" t="str">
        <x:v>primary</x:v>
      </x:c>
      <x:c r="G26" t="str">
        <x:v>https://financialfilings.com/filings/bayan-resources-tbk/annual-report/2026/57427248/</x:v>
      </x:c>
    </x:row>
    <x:row r="27">
      <x:c r="A27" t="str">
        <x:v>2025-06-30</x:v>
      </x:c>
      <x:c r="B27" t="str">
        <x:v>Low Tuck Kwong</x:v>
      </x:c>
      <x:c r="C27" s="20" t="n">
        <x:v>13385098270</x:v>
      </x:c>
      <x:c r="D27" s="20" t="n">
        <x:v>33333335000</x:v>
      </x:c>
      <x:c r="E27" s="18" t="n">
        <x:v>40.15529</x:v>
      </x:c>
      <x:c r="F27" t="str">
        <x:v>original_document_mirror</x:v>
      </x:c>
      <x:c r="G27" t="str">
        <x:v>https://id.scribd.com/document/989817824/LKFS-PT-Bayan-Resources-Tbk-0625</x:v>
      </x:c>
    </x:row>
    <x:row r="28">
      <x:c r="A28" t="str">
        <x:v>2025-06-30</x:v>
      </x:c>
      <x:c r="B28" t="str">
        <x:v>Elaine Low</x:v>
      </x:c>
      <x:c r="C28" s="20" t="n">
        <x:v>7333833700</x:v>
      </x:c>
      <x:c r="D28" s="20" t="n">
        <x:v>33333335000</x:v>
      </x:c>
      <x:c r="E28" s="18" t="n">
        <x:v>22.0015</x:v>
      </x:c>
      <x:c r="F28" t="str">
        <x:v>original_document_mirror</x:v>
      </x:c>
      <x:c r="G28" t="str">
        <x:v>https://id.scribd.com/document/989817824/LKFS-PT-Bayan-Resources-Tbk-0625</x:v>
      </x:c>
    </x:row>
    <x:row r="29">
      <x:c r="A29" t="str">
        <x:v>2025-12-31</x:v>
      </x:c>
      <x:c r="B29" t="str">
        <x:v>Low Tuck Kwong</x:v>
      </x:c>
      <x:c r="C29" s="20" t="n">
        <x:v>13406640470</x:v>
      </x:c>
      <x:c r="D29" s="20" t="n">
        <x:v>33333335000</x:v>
      </x:c>
      <x:c r="E29" s="18" t="n">
        <x:v>40.21992</x:v>
      </x:c>
      <x:c r="F29" t="str">
        <x:v>primary</x:v>
      </x:c>
      <x:c r="G29" t="str">
        <x:v>https://financialfilings.com/filings/bayan-resources-tbk/annual-report/2026/57427248/</x:v>
      </x:c>
    </x:row>
    <x:row r="30">
      <x:c r="A30" t="str">
        <x:v>2025-12-31</x:v>
      </x:c>
      <x:c r="B30" t="str">
        <x:v>Elaine Low</x:v>
      </x:c>
      <x:c r="C30" s="20" t="n">
        <x:v>7333833700</x:v>
      </x:c>
      <x:c r="D30" s="20" t="n">
        <x:v>33333335000</x:v>
      </x:c>
      <x:c r="E30" s="18" t="n">
        <x:v>22.0015</x:v>
      </x:c>
      <x:c r="F30" t="str">
        <x:v>primary</x:v>
      </x:c>
      <x:c r="G30" t="str">
        <x:v>https://financialfilings.com/filings/bayan-resources-tbk/annual-report/2026/57427248/</x:v>
      </x:c>
    </x:row>
    <x:row r="31">
      <x:c r="A31" t="str">
        <x:v>2025-12-31</x:v>
      </x:c>
      <x:c r="B31" t="str">
        <x:v>Low Yi Ngo</x:v>
      </x:c>
      <x:c r="C31" s="20" t="n">
        <x:v>62364800</x:v>
      </x:c>
      <x:c r="D31" s="20" t="n">
        <x:v>33333335000</x:v>
      </x:c>
      <x:c r="E31" s="18" t="n">
        <x:v>0.18709</x:v>
      </x:c>
      <x:c r="F31" t="str">
        <x:v>primary</x:v>
      </x:c>
      <x:c r="G31" t="str">
        <x:v>https://financialfilings.com/filings/bayan-resources-tbk/annual-report/2026/57427248/</x:v>
      </x:c>
    </x:row>
    <x:row r="32">
      <x:c r="A32" t="str">
        <x:v>2026-05-31</x:v>
      </x:c>
      <x:c r="B32" t="str">
        <x:v>Low Tuck Kwong</x:v>
      </x:c>
      <x:c r="C32" s="20" t="n">
        <x:v>13412921870</x:v>
      </x:c>
      <x:c r="D32" s="20" t="n">
        <x:v>33333335000</x:v>
      </x:c>
      <x:c r="E32" s="18" t="n">
        <x:v>40.23876</x:v>
      </x:c>
      <x:c r="F32" t="str">
        <x:v>secondary_public_filing</x:v>
      </x:c>
      <x:c r="G32" t="str">
        <x:v>https://pasardana.id/news/2026/5/19/aksi-borong-saham-byan-berlanjut-low-tuck-kwong-naikkan-porsi-kepemilikan-jadi-40-24</x:v>
      </x:c>
    </x:row>
    <x:row r="33">
      <x:c r="A33" t="str">
        <x:v>2026-05-31</x:v>
      </x:c>
      <x:c r="B33" t="str">
        <x:v>Elaine Low</x:v>
      </x:c>
      <x:c r="C33" s="20" t="n">
        <x:v>7333833700</x:v>
      </x:c>
      <x:c r="D33" s="20" t="n">
        <x:v>33333335000</x:v>
      </x:c>
      <x:c r="E33" s="18" t="n">
        <x:v>22.0015</x:v>
      </x:c>
      <x:c r="F33" t="str">
        <x:v>secondary_public_filing</x:v>
      </x:c>
      <x:c r="G33" t="str">
        <x:v>https://www.ipotnews.com/m/article.php?group_news=RESEARCHNEWS&amp;news_id=491546&amp;taging_subtype=BYAN</x:v>
      </x:c>
    </x:row>
    <x:row r="34">
      <x:c r="A34" t="str">
        <x:v>2026-06-30</x:v>
      </x:c>
      <x:c r="B34" t="str">
        <x:v>Low Tuck Kwong</x:v>
      </x:c>
      <x:c r="C34" s="20" t="n">
        <x:v>13416921870</x:v>
      </x:c>
      <x:c r="D34" s="20" t="n">
        <x:v>33333335000</x:v>
      </x:c>
      <x:c r="E34" s="18" t="n">
        <x:v>40.25076</x:v>
      </x:c>
      <x:c r="F34" t="str">
        <x:v>secondary_registry_aggregator</x:v>
      </x:c>
      <x:c r="G34" t="str">
        <x:v>https://media.aisaham.id/id/byan/pt-bayan-resources-tbk</x:v>
      </x:c>
    </x:row>
    <x:row r="35">
      <x:c r="A35" t="str">
        <x:v>2026-06-30</x:v>
      </x:c>
      <x:c r="B35" t="str">
        <x:v>Elaine Low</x:v>
      </x:c>
      <x:c r="C35" s="20" t="n">
        <x:v>7333833700</x:v>
      </x:c>
      <x:c r="D35" s="20" t="n">
        <x:v>33333335000</x:v>
      </x:c>
      <x:c r="E35" s="18" t="n">
        <x:v>22.0015</x:v>
      </x:c>
      <x:c r="F35" t="str">
        <x:v>secondary_registry_aggregator</x:v>
      </x:c>
      <x:c r="G35" t="str">
        <x:v>https://media.aisaham.id/id/byan/pt-bayan-resources-tbk</x:v>
      </x:c>
    </x:row>
    <x:row r="36">
      <x:c r="A36" t="str">
        <x:v>2026-10-19</x:v>
      </x:c>
      <x:c r="B36" t="str">
        <x:v>Low Tuck Kwong</x:v>
      </x:c>
      <x:c r="C36" s="20" t="n">
        <x:v>2766667800</x:v>
      </x:c>
      <x:c r="D36" s="20" t="n">
        <x:v>33333335000</x:v>
      </x:c>
      <x:c r="E36" s="18" t="n">
        <x:v>8.3</x:v>
      </x:c>
      <x:c r="F36" t="str">
        <x:v>secondary_issuer_quote</x:v>
      </x:c>
      <x:c r="G36" t="str">
        <x:v>https://finance.detik.com/bursa-dan-valas/d-8719560/bayan-buka-suara-sahamnya-diborong-haji-isam-di-harga-murah/amp</x:v>
      </x:c>
    </x:row>
    <x:row r="37">
      <x:c r="A37" t="str">
        <x:v>2026-10-19</x:v>
      </x:c>
      <x:c r="B37" t="str">
        <x:v>Elaine Low</x:v>
      </x:c>
      <x:c r="C37" s="20" t="n">
        <x:v>7333833700</x:v>
      </x:c>
      <x:c r="D37" s="20" t="n">
        <x:v>33333335000</x:v>
      </x:c>
      <x:c r="E37" s="18" t="n">
        <x:v>22.0015</x:v>
      </x:c>
      <x:c r="F37" t="str">
        <x:v>secondary_issuer_quote</x:v>
      </x:c>
      <x:c r="G37" t="str">
        <x:v>https://finance.detik.com/bursa-dan-valas/d-8719560/bayan-buka-suara-sahamnya-diborong-haji-isam-di-harga-murah/amp</x:v>
      </x:c>
    </x:row>
    <x:row r="38">
      <x:c r="A38" t="str">
        <x:v>2026-10-19</x:v>
      </x:c>
      <x:c r="B38" t="str">
        <x:v>Jhonlin Baratama</x:v>
      </x:c>
      <x:c r="C38" s="20" t="n">
        <x:v>10084088370</x:v>
      </x:c>
      <x:c r="D38" s="20" t="n">
        <x:v>33333335000</x:v>
      </x:c>
      <x:c r="E38" s="18" t="n">
        <x:v>30.25226</x:v>
      </x:c>
      <x:c r="F38" t="str">
        <x:v>secondary_issuer_quote</x:v>
      </x:c>
      <x:c r="G38" t="str">
        <x:v>https://finance.detik.com/bursa-dan-valas/d-8719560/bayan-buka-suara-sahamnya-diborong-haji-isam-di-harga-murah/amp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65" hidden="0" customWidth="1"/>
    <x:col min="3" max="3" width="20" hidden="0" customWidth="1"/>
    <x:col min="4" max="4" width="65" hidden="0" customWidth="1"/>
  </x:cols>
  <x:sheetData>
    <x:row r="1" ht="32" customHeight="1">
      <x:c r="A1" s="24" t="str">
        <x:v>source_id</x:v>
      </x:c>
      <x:c r="B1" s="24" t="str">
        <x:v>url</x:v>
      </x:c>
      <x:c r="C1" s="24" t="str">
        <x:v>retrieved_or_verified_as_of</x:v>
      </x:c>
      <x:c r="D1" s="24" t="str">
        <x:v>notes</x:v>
      </x:c>
    </x:row>
    <x:row r="2">
      <x:c r="A2" t="str">
        <x:v>KSEI_CA</x:v>
      </x:c>
      <x:c r="B2" t="str">
        <x:v>https://web.ksei.co.id/services/registered-securities/shares/lc/BYAN</x:v>
      </x:c>
      <x:c r="C2" t="str">
        <x:v>2026-10-24</x:v>
      </x:c>
      <x:c r="D2" t="str">
        <x:v>Source registry; validate dates in original documents. Some URLs are mirrors or secondary reporting of disclosures.</x:v>
      </x:c>
    </x:row>
    <x:row r="3">
      <x:c r="A3" t="str">
        <x:v>BYAN_DIV</x:v>
      </x:c>
      <x:c r="B3" t="str">
        <x:v>https://www.bayan.com.sg/dividend</x:v>
      </x:c>
      <x:c r="C3" t="str">
        <x:v>2026-10-24</x:v>
      </x:c>
      <x:c r="D3" t="str">
        <x:v>Source registry; validate dates in original documents. Some URLs are mirrors or secondary reporting of disclosures.</x:v>
      </x:c>
    </x:row>
    <x:row r="4">
      <x:c r="A4" t="str">
        <x:v>BYAN_AR14</x:v>
      </x:c>
      <x:c r="B4" t="str">
        <x:v>https://cdn.indonesia-investments.com/bedrijfsprofiel/2399/Bayan-Resources-Annual-Report-2014-Laporan-Tahunan-Company-Profile-BYAN-Indonesia-Investments.pdf</x:v>
      </x:c>
      <x:c r="C4" t="str">
        <x:v>2026-10-24</x:v>
      </x:c>
      <x:c r="D4" t="str">
        <x:v>Source registry; validate dates in original documents. Some URLs are mirrors or secondary reporting of disclosures.</x:v>
      </x:c>
    </x:row>
    <x:row r="5">
      <x:c r="A5" t="str">
        <x:v>BYAN_INV20</x:v>
      </x:c>
      <x:c r="B5" t="str">
        <x:v>https://www.bayan.com.sg/cfind/source/files/bayan-group-october-2020.pdf</x:v>
      </x:c>
      <x:c r="C5" t="str">
        <x:v>2026-10-24</x:v>
      </x:c>
      <x:c r="D5" t="str">
        <x:v>Source registry; validate dates in original documents. Some URLs are mirrors or secondary reporting of disclosures.</x:v>
      </x:c>
    </x:row>
    <x:row r="6">
      <x:c r="A6" t="str">
        <x:v>BYAN_AR20</x:v>
      </x:c>
      <x:c r="B6" t="str">
        <x:v>https://www.bayan.com.sg/cfind/source/files/ar2020-bayan-fullset-for-web_31may-final.pdf</x:v>
      </x:c>
      <x:c r="C6" t="str">
        <x:v>2026-10-24</x:v>
      </x:c>
      <x:c r="D6" t="str">
        <x:v>Source registry; validate dates in original documents. Some URLs are mirrors or secondary reporting of disclosures.</x:v>
      </x:c>
    </x:row>
    <x:row r="7">
      <x:c r="A7" t="str">
        <x:v>BYAN_AR21</x:v>
      </x:c>
      <x:c r="B7" t="str">
        <x:v>https://www.bayan.com.sg/cfind/source/files/annual-report-byan-2021-final-ok.pdf</x:v>
      </x:c>
      <x:c r="C7" t="str">
        <x:v>2026-10-24</x:v>
      </x:c>
      <x:c r="D7" t="str">
        <x:v>Source registry; validate dates in original documents. Some URLs are mirrors or secondary reporting of disclosures.</x:v>
      </x:c>
    </x:row>
    <x:row r="8">
      <x:c r="A8" t="str">
        <x:v>BYAN_AR23</x:v>
      </x:c>
      <x:c r="B8" t="str">
        <x:v>https://www.bayan.com.sg/cfind/source/files/annual-report/ar-bayan-2023_v2.pdf</x:v>
      </x:c>
      <x:c r="C8" t="str">
        <x:v>2026-10-24</x:v>
      </x:c>
      <x:c r="D8" t="str">
        <x:v>Source registry; validate dates in original documents. Some URLs are mirrors or secondary reporting of disclosures.</x:v>
      </x:c>
    </x:row>
    <x:row r="9">
      <x:c r="A9" t="str">
        <x:v>BYAN_FS24H1</x:v>
      </x:c>
      <x:c r="B9" t="str">
        <x:v>https://www.bayan.com.sg/cfind/source/files/financial-statement/lkfs-pt-bayan-resources-tbk-0624.pdf</x:v>
      </x:c>
      <x:c r="C9" t="str">
        <x:v>2026-10-24</x:v>
      </x:c>
      <x:c r="D9" t="str">
        <x:v>Source registry; validate dates in original documents. Some URLs are mirrors or secondary reporting of disclosures.</x:v>
      </x:c>
    </x:row>
    <x:row r="10">
      <x:c r="A10" t="str">
        <x:v>BYAN_AR25</x:v>
      </x:c>
      <x:c r="B10" t="str">
        <x:v>https://www.bayan.com.sg/cfind/source/files/annual-report/ar-bayan-2025-website-070526.pdf</x:v>
      </x:c>
      <x:c r="C10" t="str">
        <x:v>2026-10-24</x:v>
      </x:c>
      <x:c r="D10" t="str">
        <x:v>Source registry; validate dates in original documents. Some URLs are mirrors or secondary reporting of disclosures.</x:v>
      </x:c>
    </x:row>
    <x:row r="11">
      <x:c r="A11" t="str">
        <x:v>BYAN_SPLIT</x:v>
      </x:c>
      <x:c r="B11" t="str">
        <x:v>https://www.bayan.com.sg/cfind/source/files/ki-byan-stock-split.pdf</x:v>
      </x:c>
      <x:c r="C11" t="str">
        <x:v>2026-10-24</x:v>
      </x:c>
      <x:c r="D11" t="str">
        <x:v>Source registry; validate dates in original documents. Some URLs are mirrors or secondary reporting of disclosures.</x:v>
      </x:c>
    </x:row>
    <x:row r="12">
      <x:c r="A12" t="str">
        <x:v>KSEI_26</x:v>
      </x:c>
      <x:c r="B12" t="str">
        <x:v>https://web.ksei.co.id/Announcement/Files/195848_ksei_15085_jku_0626_202606151724.pdf</x:v>
      </x:c>
      <x:c r="C12" t="str">
        <x:v>2026-10-24</x:v>
      </x:c>
      <x:c r="D12" t="str">
        <x:v>Source registry; validate dates in original documents. Some URLs are mirrors or secondary reporting of disclosures.</x:v>
      </x:c>
    </x:row>
    <x:row r="13">
      <x:c r="A13" t="str">
        <x:v>IPOT_2026</x:v>
      </x:c>
      <x:c r="B13" t="str">
        <x:v>https://www.ipotnews.com/m/article.php?group_news=RESEARCHNEWS&amp;news_id=491546&amp;taging_subtype=BYAN</x:v>
      </x:c>
      <x:c r="C13" t="str">
        <x:v>2026-10-24</x:v>
      </x:c>
      <x:c r="D13" t="str">
        <x:v>Source registry; validate dates in original documents. Some URLs are mirrors or secondary reporting of disclosures.</x:v>
      </x:c>
    </x:row>
    <x:row r="14">
      <x:c r="A14" t="str">
        <x:v>KAT_2026</x:v>
      </x:c>
      <x:c r="B14" t="str">
        <x:v>https://katadata.co.id/finansial/bursa/6a3248288197f/emiten-batu-bara-low-tuck-kwong-byan-dan-myoh-beri-dividen-jumbo-ini-jadwalnya</x:v>
      </x:c>
      <x:c r="C14" t="str">
        <x:v>2026-10-24</x:v>
      </x:c>
      <x:c r="D14" t="str">
        <x:v>Source registry; validate dates in original documents. Some URLs are mirrors or secondary reporting of disclosures.</x:v>
      </x:c>
    </x:row>
    <x:row r="15">
      <x:c r="A15" t="str">
        <x:v>FIN_FILING25</x:v>
      </x:c>
      <x:c r="B15" t="str">
        <x:v>https://financialfilings.com/filings/bayan-resources-tbk/annual-report/2026/57427248/</x:v>
      </x:c>
      <x:c r="C15" t="str">
        <x:v>2026-10-24</x:v>
      </x:c>
      <x:c r="D15" t="str">
        <x:v>Source registry; validate dates in original documents. Some URLs are mirrors or secondary reporting of disclosures.</x:v>
      </x:c>
    </x:row>
    <x:row r="16">
      <x:c r="A16" t="str">
        <x:v>FIN_FILING25_AR</x:v>
      </x:c>
      <x:c r="B16" t="str">
        <x:v>https://financialfilings.com/filings/bayan-resources-tbk/annual-report/2026/57421527/</x:v>
      </x:c>
      <x:c r="C16" t="str">
        <x:v>2026-10-24</x:v>
      </x:c>
      <x:c r="D16" t="str">
        <x:v>Source registry; validate dates in original documents. Some URLs are mirrors or secondary reporting of disclosures.</x:v>
      </x:c>
    </x:row>
    <x:row r="17">
      <x:c r="A17" t="str">
        <x:v>OWN_2015</x:v>
      </x:c>
      <x:c r="B17" t="str">
        <x:v>https://d383o6qmmkn2hd.cloudfront.net/bedrijfsprofiel/2399/Bayan-Resources-Annual-Report-2015-Company-Profile-Indonesia-Investment.pdf</x:v>
      </x:c>
      <x:c r="C17" t="str">
        <x:v>2026-10-24</x:v>
      </x:c>
      <x:c r="D17" t="str">
        <x:v>Source registry; validate dates in original documents. Some URLs are mirrors or secondary reporting of disclosures.</x:v>
      </x:c>
    </x:row>
    <x:row r="18">
      <x:c r="A18" t="str">
        <x:v>OWN_2019</x:v>
      </x:c>
      <x:c r="B18" t="str">
        <x:v>https://legacy.pasardana.id/news/2019/1/23/low-tuck-kwong-tambah-kepemilikan-di-byan-senilai-rp460-1-miliar/</x:v>
      </x:c>
      <x:c r="C18" t="str">
        <x:v>2026-10-24</x:v>
      </x:c>
      <x:c r="D18" t="str">
        <x:v>Source registry; validate dates in original documents. Some URLs are mirrors or secondary reporting of disclosures.</x:v>
      </x:c>
    </x:row>
    <x:row r="19">
      <x:c r="A19" t="str">
        <x:v>OWN_2021</x:v>
      </x:c>
      <x:c r="B19" t="str">
        <x:v>https://market.bisnis.com/read/20210531/192/1399811/sedikit-demi-sedikit-dato-low-tuck-kwong-tambah-lagi-saham-byan</x:v>
      </x:c>
      <x:c r="C19" t="str">
        <x:v>2026-10-24</x:v>
      </x:c>
      <x:c r="D19" t="str">
        <x:v>Source registry; validate dates in original documents. Some URLs are mirrors or secondary reporting of disclosures.</x:v>
      </x:c>
    </x:row>
    <x:row r="20">
      <x:c r="A20" t="str">
        <x:v>OWN_2022MAY</x:v>
      </x:c>
      <x:c r="B20" t="str">
        <x:v>https://www.liputan6.com/saham/read/5000658/dirut-bayan-resources-low-tuck-kwong-lepas-107-juta-saham-byan-di-bawah-harga-pasar</x:v>
      </x:c>
      <x:c r="C20" t="str">
        <x:v>2026-10-24</x:v>
      </x:c>
      <x:c r="D20" t="str">
        <x:v>Source registry; validate dates in original documents. Some URLs are mirrors or secondary reporting of disclosures.</x:v>
      </x:c>
    </x:row>
    <x:row r="21">
      <x:c r="A21" t="str">
        <x:v>OWN_2022DEC</x:v>
      </x:c>
      <x:c r="B21" t="str">
        <x:v>https://market.bisnis.com/read/20221220/192/1610238/orang-terkaya-kedua-ri-getol-borong-saham-bayan-byan</x:v>
      </x:c>
      <x:c r="C21" t="str">
        <x:v>2026-10-24</x:v>
      </x:c>
      <x:c r="D21" t="str">
        <x:v>Source registry; validate dates in original documents. Some URLs are mirrors or secondary reporting of disclosures.</x:v>
      </x:c>
    </x:row>
    <x:row r="22">
      <x:c r="A22" t="str">
        <x:v>OWN_2023JUN</x:v>
      </x:c>
      <x:c r="B22" t="str">
        <x:v>https://www.indopremier.com/ipotnews/newsDetail.php?group_news=RESEARCHNEWS&amp;halaman=1&amp;jdl=Kepemilikan_Saham_30_Juni_2023_BYAN&amp;name=&amp;news_date=&amp;news_id=425281&amp;q=%2C&amp;search=y_general&amp;taging_subtype=PG002</x:v>
      </x:c>
      <x:c r="C22" t="str">
        <x:v>2026-10-24</x:v>
      </x:c>
      <x:c r="D22" t="str">
        <x:v>Source registry; validate dates in original documents. Some URLs are mirrors or secondary reporting of disclosures.</x:v>
      </x:c>
    </x:row>
    <x:row r="23">
      <x:c r="A23" t="str">
        <x:v>OWN_2024NOV</x:v>
      </x:c>
      <x:c r="B23" t="str">
        <x:v>https://www.ipotnews.com/ipotnews/newsDetail.php?group_news=RESEARCHNEWS&amp;halaman=1&amp;jdl=Kepemilikan_Saham_30_November_2024_BYAN&amp;name=&amp;news_id=456430&amp;q=%2C&amp;search=y_general&amp;taging_subtype=PG002</x:v>
      </x:c>
      <x:c r="C23" t="str">
        <x:v>2026-10-24</x:v>
      </x:c>
      <x:c r="D23" t="str">
        <x:v>Source registry; validate dates in original documents. Some URLs are mirrors or secondary reporting of disclosures.</x:v>
      </x:c>
    </x:row>
    <x:row r="24">
      <x:c r="A24" t="str">
        <x:v>OWN_2025JUN</x:v>
      </x:c>
      <x:c r="B24" t="str">
        <x:v>https://id.scribd.com/document/989817824/LKFS-PT-Bayan-Resources-Tbk-0625</x:v>
      </x:c>
      <x:c r="C24" t="str">
        <x:v>2026-10-24</x:v>
      </x:c>
      <x:c r="D24" t="str">
        <x:v>Source registry; validate dates in original documents. Some URLs are mirrors or secondary reporting of disclosures.</x:v>
      </x:c>
    </x:row>
    <x:row r="25">
      <x:c r="A25" t="str">
        <x:v>OWN_2026MAY</x:v>
      </x:c>
      <x:c r="B25" t="str">
        <x:v>https://pasardana.id/news/2026/5/19/aksi-borong-saham-byan-berlanjut-low-tuck-kwong-naikkan-porsi-kepemilikan-jadi-40-24</x:v>
      </x:c>
      <x:c r="C25" t="str">
        <x:v>2026-10-24</x:v>
      </x:c>
      <x:c r="D25" t="str">
        <x:v>Source registry; validate dates in original documents. Some URLs are mirrors or secondary reporting of disclosures.</x:v>
      </x:c>
    </x:row>
    <x:row r="26">
      <x:c r="A26" t="str">
        <x:v>OWN_2026OCT</x:v>
      </x:c>
      <x:c r="B26" t="str">
        <x:v>https://finance.detik.com/bursa-dan-valas/d-8719560/bayan-buka-suara-sahamnya-diborong-haji-isam-di-harga-murah/amp</x:v>
      </x:c>
      <x:c r="C26" t="str">
        <x:v>2026-10-24</x:v>
      </x:c>
      <x:c r="D26" t="str">
        <x:v>Source registry; validate dates in original documents. Some URLs are mirrors or secondary reporting of disclosures.</x:v>
      </x:c>
    </x:row>
    <x:row r="27">
      <x:c r="A27" t="str">
        <x:v>OWN_2024GIFT</x:v>
      </x:c>
      <x:c r="B27" t="str">
        <x:v>https://katadata.co.id/finansial/bursa/6ad9d49f02b5f/profil-elaine-low-warga-singapura-pemilik-22-saham-byan-putri-low-tuck-kwong</x:v>
      </x:c>
      <x:c r="C27" t="str">
        <x:v>2026-10-24</x:v>
      </x:c>
      <x:c r="D27" t="str">
        <x:v>Source registry; validate dates in original documents. Some URLs are mirrors or secondary reporting of disclosures.</x:v>
      </x:c>
    </x:row>
    <x:row r="28">
      <x:c r="A28" t="str">
        <x:v>2021_ANN</x:v>
      </x:c>
      <x:c r="B28" t="str">
        <x:v>https://www.bayan.com.sg/cfind/source/files/0521-21-r4-rups-pt-bayan-4x30-media-indo.pdf</x:v>
      </x:c>
      <x:c r="C28" t="str">
        <x:v>2026-10-24</x:v>
      </x:c>
      <x:c r="D28" t="str">
        <x:v>Source registry; validate dates in original documents. Some URLs are mirrors or secondary reporting of disclosures.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0" hidden="0" customWidth="1"/>
    <x:col min="3" max="3" width="70" hidden="0" customWidth="1"/>
    <x:col min="4" max="4" width="55" hidden="0" customWidth="1"/>
    <x:col min="5" max="5" width="70" hidden="0" customWidth="1"/>
  </x:cols>
  <x:sheetData>
    <x:row r="1" ht="32" customHeight="1">
      <x:c r="A1" s="24" t="str">
        <x:v>priority</x:v>
      </x:c>
      <x:c r="B1" s="24" t="str">
        <x:v>topic</x:v>
      </x:c>
      <x:c r="C1" s="24" t="str">
        <x:v>missing_data</x:v>
      </x:c>
      <x:c r="D1" s="24" t="str">
        <x:v>target_sources</x:v>
      </x:c>
      <x:c r="E1" s="24" t="str">
        <x:v>reason</x:v>
      </x:c>
    </x:row>
    <x:row r="2">
      <x:c r="A2" t="str">
        <x:v>HIGH</x:v>
      </x:c>
      <x:c r="B2" t="str">
        <x:v>recording_date_register</x:v>
      </x:c>
      <x:c r="C2" t="str">
        <x:v>Daftar pemegang saham per tanggal pencatatan untuk seluruh 14 dividen</x:v>
      </x:c>
      <x:c r="D2" t="str">
        <x:v>KSEI / PT Raya Saham Registra / keterbukaan IDX</x:v>
      </x:c>
      <x:c r="E2" t="str">
        <x:v>Tanpa ini, dividen tiap orang hanya estimasi berdasarkan snapshot terdekat.</x:v>
      </x:c>
    </x:row>
    <x:row r="3">
      <x:c r="A3" t="str">
        <x:v>HIGH</x:v>
      </x:c>
      <x:c r="B3" t="str">
        <x:v>historical_shareholding_2018</x:v>
      </x:c>
      <x:c r="C3" t="str">
        <x:v>Kepemilikan Low per 21 Jun 2018 dan tgl record 2019–2020</x:v>
      </x:c>
      <x:c r="D3" t="str">
        <x:v>BAE; AR 2018/2019 dan arsip pengungkapan saham</x:v>
      </x:c>
      <x:c r="E3" t="str">
        <x:v>Perkiraan lama dari snapshot 2015/2019 berisiko bias.</x:v>
      </x:c>
    </x:row>
    <x:row r="4">
      <x:c r="A4" t="str">
        <x:v>HIGH</x:v>
      </x:c>
      <x:c r="B4" t="str">
        <x:v>tax_residency</x:v>
      </x:c>
      <x:c r="C4" t="str">
        <x:v>Domisili pajak tiap penerima pada tiap tanggal dividen</x:v>
      </x:c>
      <x:c r="D4" t="str">
        <x:v>Dokumen publik yang sukarela disampaikan; sertifikat domisili hanya jika sah/terbuka</x:v>
      </x:c>
      <x:c r="E4" t="str">
        <x:v>Kewarganegaraan Singapura tidak membuktikan status residen pajak Singapura.</x:v>
      </x:c>
    </x:row>
    <x:row r="5">
      <x:c r="A5" t="str">
        <x:v>HIGH</x:v>
      </x:c>
      <x:c r="B5" t="str">
        <x:v>bank_cash_destination</x:v>
      </x:c>
      <x:c r="C5" t="str">
        <x:v>Rekening penerima dividen atau bukti transfer lintas negara yang legal dipublikasikan</x:v>
      </x:c>
      <x:c r="D5" t="str">
        <x:v>Keterbukaan perusahaan/penerima atau agregat BOP Bank Indonesia</x:v>
      </x:c>
      <x:c r="E5" t="str">
        <x:v>Tidak tersedia publik; jangan menyatakan dividen dikirim ke Singapura.</x:v>
      </x:c>
    </x:row>
    <x:row r="6">
      <x:c r="A6" t="str">
        <x:v>HIGH</x:v>
      </x:c>
      <x:c r="B6" t="str">
        <x:v>indirect_ownership</x:v>
      </x:c>
      <x:c r="C6" t="str">
        <x:v>Hubungan pemilik manfaat akhir PT Sumber Suryadaya Prima dan pemegang saham lainnya</x:v>
      </x:c>
      <x:c r="D6" t="str">
        <x:v>AHU publik/annual report/register</x:v>
      </x:c>
      <x:c r="E6" t="str">
        <x:v>Jangan mengatribusi 10% SSP ke Low atau keluarga tanpa bukti.</x:v>
      </x:c>
    </x:row>
    <x:row r="7">
      <x:c r="A7" t="str">
        <x:v>MEDIUM</x:v>
      </x:c>
      <x:c r="B7" t="str">
        <x:v>2011_2012_USD</x:v>
      </x:c>
      <x:c r="C7" t="str">
        <x:v>Nilai total dividen 2011–2012 dalam USD jika tersedia di catatan konsolidasian</x:v>
      </x:c>
      <x:c r="D7" t="str">
        <x:v>FS/AR 2011–2012 dan BI rate tanggal kurs pembayaran</x:v>
      </x:c>
      <x:c r="E7" t="str">
        <x:v>Jangan menjumlahkan nominal rupiah sebagai USD dengan kurs masa kini.</x:v>
      </x:c>
    </x:row>
    <x:row r="8">
      <x:c r="A8" t="str">
        <x:v>MEDIUM</x:v>
      </x:c>
      <x:c r="B8" t="str">
        <x:v>2026_IDR_vs_USD</x:v>
      </x:c>
      <x:c r="C8" t="str">
        <x:v>Kurs resmi applied recording 23 Juni 2026 terhadap Rp267.285/DPS dan USD$500m</x:v>
      </x:c>
      <x:c r="D8" t="str">
        <x:v>KSEI/BEI/BI dan hasil RUPST</x:v>
      </x:c>
      <x:c r="E8" t="str">
        <x:v>Ada perbedaan angka perkiraan kurs sebelum recording.</x:v>
      </x:c>
    </x:row>
    <x:row r="9">
      <x:c r="A9" t="str">
        <x:v>MEDIUM</x:v>
      </x:c>
      <x:c r="B9" t="str">
        <x:v>tax_withholding</x:v>
      </x:c>
      <x:c r="C9" t="str">
        <x:v>PPh final/nonfinal, treaty, withholding untuk penerima 2024–2026</x:v>
      </x:c>
      <x:c r="D9" t="str">
        <x:v>DJP guidance dan keterbukaan dokumen pajak yang boleh dibuka</x:v>
      </x:c>
      <x:c r="E9" t="str">
        <x:v>Hak bruto tidak sama dengan uang diterima bersih.</x:v>
      </x:c>
    </x:row>
    <x:row r="10">
      <x:c r="A10" t="str">
        <x:v>MEDIUM</x:v>
      </x:c>
      <x:c r="B10" t="str">
        <x:v>LowYiNgo_record_date</x:v>
      </x:c>
      <x:c r="C10" t="str">
        <x:v>Jumlah saham Low Yi Ngo saat tanggal pencatatan dividen</x:v>
      </x:c>
      <x:c r="D10" t="str">
        <x:v>BAE/KSEI</x:v>
      </x:c>
      <x:c r="E10" t="str">
        <x:v>Saat ini menggunakan snapshot tahunan/interim.</x:v>
      </x:c>
    </x:row>
    <x:row r="11">
      <x:c r="A11" t="str">
        <x:v>MEDIUM</x:v>
      </x:c>
      <x:c r="B11" t="str">
        <x:v>dividend_zero_years</x:v>
      </x:c>
      <x:c r="C11" t="str">
        <x:v>Memastikan tidak ada cash dividend BYAN 2008–2010 dan 2013–2017</x:v>
      </x:c>
      <x:c r="D11" t="str">
        <x:v>AR audit, KSEI corporate actions, RUPS</x:v>
      </x:c>
      <x:c r="E11" t="str">
        <x:v>KSEI tidak menampilkan dividen tidak selalu setara tidak pernah ada bentuk distribusi lain.</x:v>
      </x:c>
    </x:row>
    <x:row r="12">
      <x:c r="A12" t="str">
        <x:v>MEDIUM</x:v>
      </x:c>
      <x:c r="B12" t="str">
        <x:v>2026_oct_changes</x:v>
      </x:c>
      <x:c r="C12" t="str">
        <x:v>Rekonsiliasi perubahan Elaine Low September–Oktober 2026 karena pemberitaan sementara berbeda</x:v>
      </x:c>
      <x:c r="D12" t="str">
        <x:v>KSEI daily ownership, final issuer clarifications</x:v>
      </x:c>
      <x:c r="E12" t="str">
        <x:v>Data per 19 Oct adalah acuan terbaru; tidak memengaruhi dividen Jul 2026.</x:v>
      </x:c>
    </x:row>
  </x:sheetData>
  <x:pageMargins left="0.7" right="0.7" top="0.75" bottom="0.75" header="0.3" footer="0.3"/>
</x:worksheet>
</file>