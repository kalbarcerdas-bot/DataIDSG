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9382b8cf1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ec1d9f722604090"/>
    <x:sheet xmlns:r="http://schemas.openxmlformats.org/officeDocument/2006/relationships" name="Company_Scale" sheetId="2" r:id="Reeaaccfa02694cda"/>
    <x:sheet xmlns:r="http://schemas.openxmlformats.org/officeDocument/2006/relationships" name="History_2021_25" sheetId="3" r:id="R0adf73065c2a4ebf"/>
    <x:sheet xmlns:r="http://schemas.openxmlformats.org/officeDocument/2006/relationships" name="Dividends" sheetId="4" r:id="Rc0976741f2944aff"/>
    <x:sheet xmlns:r="http://schemas.openxmlformats.org/officeDocument/2006/relationships" name="Ownership" sheetId="5" r:id="R0e78e93b23684784"/>
    <x:sheet xmlns:r="http://schemas.openxmlformats.org/officeDocument/2006/relationships" name="NEA_Notices" sheetId="6" r:id="R18e692d869e742de"/>
    <x:sheet xmlns:r="http://schemas.openxmlformats.org/officeDocument/2006/relationships" name="Data_Gaps" sheetId="7" r:id="R3f9d4d5150da498f"/>
    <x:sheet xmlns:r="http://schemas.openxmlformats.org/officeDocument/2006/relationships" name="Sources" sheetId="8" r:id="R46a3766a8f16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00"/>
    <x:numFmt numFmtId="202" formatCode="0.0"/>
    <x:numFmt numFmtId="203" formatCode="#,##0.00;[Red](#,##0.00);-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7"/>
      <x:color rgb="FFFFFFFF"/>
      <x:name val="Carlito"/>
    </x:font>
    <x:font>
      <x:sz val="11"/>
      <x:color rgb="FFFFFFFF"/>
      <x:name val="Carlito"/>
    </x:font>
    <x:font>
      <x:b/>
      <x:sz val="23"/>
      <x:color rgb="FF1B8990"/>
      <x:name val="Carlito"/>
    </x:font>
    <x:font>
      <x:sz val="11"/>
      <x:color rgb="FF000000"/>
      <x:name val="Carlito"/>
    </x:font>
    <x:font>
      <x:b/>
      <x:sz val="23"/>
      <x:color rgb="FF000000"/>
      <x:name val="Carlito"/>
    </x:font>
    <x:font>
      <x:b/>
      <x:sz val="23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1D2A"/>
      </x:patternFill>
    </x:fill>
    <x:fill>
      <x:patternFill patternType="solid">
        <x:fgColor rgb="FF1B8990"/>
      </x:patternFill>
    </x:fill>
    <x:fill>
      <x:patternFill patternType="solid">
        <x:fgColor rgb="FFF2F6F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202" fontId="8" fillId="4" borderId="0" xfId="0" applyNumberFormat="1" applyFont="1" applyFill="1" applyBorder="1"/>
    <x:xf numFmtId="202" fontId="8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aad42bac44925" /><Relationship Type="http://schemas.openxmlformats.org/officeDocument/2006/relationships/theme" Target="/xl/theme/theme1.xml" Id="Rd79383ba2be048fb" /><Relationship Type="http://schemas.openxmlformats.org/officeDocument/2006/relationships/sharedStrings" Target="/xl/sharedStrings.xml" Id="Ra7392103d26945db" /><Relationship Type="http://schemas.openxmlformats.org/officeDocument/2006/relationships/worksheet" Target="/xl/worksheets/sheet1.xml" Id="R3ec1d9f722604090" /><Relationship Type="http://schemas.openxmlformats.org/officeDocument/2006/relationships/worksheet" Target="/xl/worksheets/sheet2.xml" Id="Reeaaccfa02694cda" /><Relationship Type="http://schemas.openxmlformats.org/officeDocument/2006/relationships/worksheet" Target="/xl/worksheets/sheet3.xml" Id="R0adf73065c2a4ebf" /><Relationship Type="http://schemas.openxmlformats.org/officeDocument/2006/relationships/worksheet" Target="/xl/worksheets/sheet4.xml" Id="Rc0976741f2944aff" /><Relationship Type="http://schemas.openxmlformats.org/officeDocument/2006/relationships/worksheet" Target="/xl/worksheets/sheet5.xml" Id="R0e78e93b23684784" /><Relationship Type="http://schemas.openxmlformats.org/officeDocument/2006/relationships/worksheet" Target="/xl/worksheets/sheet6.xml" Id="R18e692d869e742de" /><Relationship Type="http://schemas.openxmlformats.org/officeDocument/2006/relationships/worksheet" Target="/xl/worksheets/sheet7.xml" Id="R3f9d4d5150da498f" /><Relationship Type="http://schemas.openxmlformats.org/officeDocument/2006/relationships/worksheet" Target="/xl/worksheets/sheet8.xml" Id="R46a3766a8f1645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30" hidden="0" customWidth="1"/>
    <x:col min="4" max="4" width="23" hidden="0" customWidth="1"/>
    <x:col min="5" max="5" width="21" hidden="0" customWidth="1"/>
    <x:col min="6" max="6" width="25" hidden="0" customWidth="1"/>
    <x:col min="7" max="7" width="37" hidden="0" customWidth="1"/>
    <x:col min="8" max="8" width="21" hidden="0" customWidth="1"/>
  </x:cols>
  <x:sheetData>
    <x:row r="1" ht="38" customHeight="1">
      <x:c r="A1" s="14" t="str">
        <x:v>KALCER • VALUE CAPTURE | TAHAP 9.8</x:v>
      </x:c>
      <x:c r="B1" s="14"/>
      <x:c r="C1" s="14"/>
      <x:c r="D1" s="14"/>
      <x:c r="E1" s="14"/>
      <x:c r="F1" s="14"/>
      <x:c r="G1" s="14"/>
      <x:c r="H1" s="14"/>
    </x:row>
    <x:row r="2" ht="28" customHeight="1">
      <x:c r="A2" s="17" t="str">
        <x:v>Audit lintas 7 kelompok · Tahun buku 2025 · Angka tidak otomatis dapat dijumlahkan</x:v>
      </x:c>
      <x:c r="B2" s="17"/>
      <x:c r="C2" s="17"/>
      <x:c r="D2" s="17"/>
      <x:c r="E2" s="17"/>
      <x:c r="F2" s="17"/>
      <x:c r="G2" s="17"/>
      <x:c r="H2" s="17"/>
    </x:row>
    <x:row r="4" ht="25" customHeight="1">
      <x:c r="A4" s="3" t="str">
        <x:v>ASTRA → JCC (IDR triliun)</x:v>
      </x:c>
      <x:c r="B4" s="3"/>
      <x:c r="C4" s="3"/>
      <x:c r="D4" s="3" t="str">
        <x:v>GEMS → GEAR (USD juta)</x:v>
      </x:c>
      <x:c r="E4" s="3"/>
      <x:c r="F4" s="3"/>
      <x:c r="G4" s="3" t="str">
        <x:v>NOTICES NEA 23 OKT</x:v>
      </x:c>
      <x:c r="H4" s="3"/>
    </x:row>
    <x:row r="5" ht="40" customHeight="1">
      <x:c r="A5" s="40" t="n">
        <x:f>SUM(Dividends!O2:O3)/1000000000000</x:f>
        <x:v>8.23703154624</x:v>
      </x:c>
      <x:c r="B5" s="21"/>
      <x:c r="C5" s="21"/>
      <x:c r="D5" s="42" t="n">
        <x:v>14.7</x:v>
      </x:c>
      <x:c r="E5" s="21"/>
      <x:c r="F5" s="21"/>
      <x:c r="G5" s="44" t="n">
        <x:v>10</x:v>
      </x:c>
      <x:c r="H5" s="21"/>
    </x:row>
    <x:row r="6" ht="48" customHeight="1">
      <x:c r="A6" s="28" t="str">
        <x:v>ESTIMASI dividen bruto 2025; ASII multi-sektor</x:v>
      </x:c>
      <x:c r="B6" s="28"/>
      <x:c r="C6" s="28"/>
      <x:c r="D6" s="28" t="str">
        <x:v>INDIKATIF: 7% × US$210m, perlu cap table per record date</x:v>
      </x:c>
      <x:c r="E6" s="28"/>
      <x:c r="F6" s="28"/>
      <x:c r="G6" s="28" t="str">
        <x:v>Permintaan dokumen Pasal 10, BUKAN putusan bersalah</x:v>
      </x:c>
      <x:c r="H6" s="28"/>
    </x:row>
    <x:row r="8" ht="28" customHeight="1">
      <x:c r="A8" s="3" t="str">
        <x:v>MATRIX 2025: skala perusahaan BUKAN nilai yang diterima penduduk Singapura</x:v>
      </x:c>
      <x:c r="B8" s="3"/>
      <x:c r="C8" s="3"/>
      <x:c r="D8" s="3"/>
      <x:c r="E8" s="3"/>
      <x:c r="F8" s="3"/>
      <x:c r="G8" s="3"/>
      <x:c r="H8" s="3"/>
    </x:row>
    <x:row r="9" ht="32" customHeight="1">
      <x:c r="A9" s="30" t="str">
        <x:v>Perusahaan</x:v>
      </x:c>
      <x:c r="B9" s="30" t="str">
        <x:v>Sektor</x:v>
      </x:c>
      <x:c r="C9" s="30" t="str">
        <x:v>Operasi Indonesia</x:v>
      </x:c>
      <x:c r="D9" s="30" t="str">
        <x:v>Skala fisik</x:v>
      </x:c>
      <x:c r="E9" s="30" t="str">
        <x:v>Pendapatan</x:v>
      </x:c>
      <x:c r="F9" s="30" t="str">
        <x:v>Mata uang</x:v>
      </x:c>
      <x:c r="G9" s="30" t="str">
        <x:v>Koneksi SG</x:v>
      </x:c>
      <x:c r="H9" s="30" t="str">
        <x:v>Sumber ID</x:v>
      </x:c>
    </x:row>
    <x:row r="10" ht="34" customHeight="1">
      <x:c r="A10" t="str">
        <x:v>Geo Energy Resources</x:v>
      </x:c>
      <x:c r="B10" t="str">
        <x:v>Coal</x:v>
      </x:c>
      <x:c r="C10" t="str">
        <x:v>Indonesia (South Kalimantan and South Sumatra)</x:v>
      </x:c>
      <x:c r="D10" s="46" t="n">
        <x:v>12.5</x:v>
      </x:c>
      <x:c r="E10" s="46" t="n">
        <x:v>562.7</x:v>
      </x:c>
      <x:c r="F10" t="str">
        <x:v>USD million</x:v>
      </x:c>
      <x:c r="G10" t="str">
        <x:v>SGX-listed SG company</x:v>
      </x:c>
      <x:c r="H10" t="str">
        <x:v>SRC01</x:v>
      </x:c>
    </x:row>
    <x:row r="11" ht="34" customHeight="1">
      <x:c r="A11" t="str">
        <x:v>Golden Energy Mines (GEMS)</x:v>
      </x:c>
      <x:c r="B11" t="str">
        <x:v>Coal</x:v>
      </x:c>
      <x:c r="C11" t="str">
        <x:v>Indonesia (South Kalimantan and Sumatra)</x:v>
      </x:c>
      <x:c r="D11" s="46" t="n">
        <x:v>54.95</x:v>
      </x:c>
      <x:c r="E11" s="46" t="n">
        <x:v>2414.05</x:v>
      </x:c>
      <x:c r="F11" t="str">
        <x:v>USD million</x:v>
      </x:c>
      <x:c r="G11" t="str">
        <x:v>IDX issuer; ~7.0% by Golden Energy and Resources Ltd (SG)</x:v>
      </x:c>
      <x:c r="H11" t="str">
        <x:v>SRC02|SRC03|SRC06</x:v>
      </x:c>
    </x:row>
    <x:row r="12" ht="34" customHeight="1">
      <x:c r="A12" t="str">
        <x:v>Bumitama Agri</x:v>
      </x:c>
      <x:c r="B12" t="str">
        <x:v>Palm oil</x:v>
      </x:c>
      <x:c r="C12" t="str">
        <x:v>Indonesia (Central/West Kalimantan)</x:v>
      </x:c>
      <x:c r="D12" s="46" t="n">
        <x:v>184000</x:v>
      </x:c>
      <x:c r="E12" s="46" t="n">
        <x:v>19951</x:v>
      </x:c>
      <x:c r="F12" t="str">
        <x:v>IDR billion</x:v>
      </x:c>
      <x:c r="G12" t="str">
        <x:v>SGX-listed SG company</x:v>
      </x:c>
      <x:c r="H12" t="str">
        <x:v>SRC07|SRC08</x:v>
      </x:c>
    </x:row>
    <x:row r="13" ht="34" customHeight="1">
      <x:c r="A13" t="str">
        <x:v>Golden Agri-Resources</x:v>
      </x:c>
      <x:c r="B13" t="str">
        <x:v>Palm oil</x:v>
      </x:c>
      <x:c r="C13" t="str">
        <x:v>Indonesia plantations; worldwide integrated downstream</x:v>
      </x:c>
      <x:c r="D13" s="46" t="n">
        <x:v>531000</x:v>
      </x:c>
      <x:c r="E13" s="46" t="n">
        <x:v>12951.478</x:v>
      </x:c>
      <x:c r="F13" t="str">
        <x:v>USD million</x:v>
      </x:c>
      <x:c r="G13" t="str">
        <x:v>SGX listed; Widjaja Family Master Trust 50.56%</x:v>
      </x:c>
      <x:c r="H13" t="str">
        <x:v>SRC10|SRC11|SRC12</x:v>
      </x:c>
    </x:row>
    <x:row r="14" ht="34" customHeight="1">
      <x:c r="A14" t="str">
        <x:v>Wilmar International</x:v>
      </x:c>
      <x:c r="B14" t="str">
        <x:v>Integrated agribusiness</x:v>
      </x:c>
      <x:c r="C14" t="str">
        <x:v>Indonesia and worldwide</x:v>
      </x:c>
      <x:c r="D14" s="46" t="n">
        <x:v>154660</x:v>
      </x:c>
      <x:c r="E14" s="46" t="n">
        <x:v>70415.698</x:v>
      </x:c>
      <x:c r="F14" t="str">
        <x:v>USD million</x:v>
      </x:c>
      <x:c r="G14" t="str">
        <x:v>SG-headquartered &amp; SGX listed; dispersed international owners</x:v>
      </x:c>
      <x:c r="H14" t="str">
        <x:v>SRC13|SRC14|SRC15</x:v>
      </x:c>
    </x:row>
    <x:row r="15" ht="34" customHeight="1">
      <x:c r="A15" t="str">
        <x:v>First Resources</x:v>
      </x:c>
      <x:c r="B15" t="str">
        <x:v>Palm oil</x:v>
      </x:c>
      <x:c r="C15" t="str">
        <x:v>Indonesia incl newly acquired ANJ</x:v>
      </x:c>
      <x:c r="D15" s="46" t="n">
        <x:v>1300000</x:v>
      </x:c>
      <x:c r="E15" s="46" t="n">
        <x:v>1661.1</x:v>
      </x:c>
      <x:c r="F15" t="str">
        <x:v>USD million</x:v>
      </x:c>
      <x:c r="G15" t="str">
        <x:v>SGX listed; Eight Capital Inc substantial shareholder</x:v>
      </x:c>
      <x:c r="H15" t="str">
        <x:v>SRC16|SRC17|SRC18</x:v>
      </x:c>
    </x:row>
    <x:row r="16" ht="34" customHeight="1">
      <x:c r="A16" t="str">
        <x:v>Jardine Cycle &amp; Carriage / Astra</x:v>
      </x:c>
      <x:c r="B16" t="str">
        <x:v>Diversified: mine, heavy equipment, automotive, finance etc.</x:v>
      </x:c>
      <x:c r="C16" t="str">
        <x:v>Indonesia (Astra; multiple sectors)</x:v>
      </x:c>
      <x:c r="D16" s="46" t="n">
        <x:v>50.11</x:v>
      </x:c>
      <x:c r="E16" s="46" t="n">
        <x:v>323392</x:v>
      </x:c>
      <x:c r="F16" t="str">
        <x:v>IDR billion (Astra group)</x:v>
      </x:c>
      <x:c r="G16" t="str">
        <x:v>JCC SG company owns 50.11% Indonesian Astra</x:v>
      </x:c>
      <x:c r="H16" t="str">
        <x:v>SRC21|SRC23|SRC24</x:v>
      </x:c>
    </x:row>
    <x:row r="19" ht="27" customHeight="1">
      <x:c r="A19" s="3" t="str">
        <x:v>METODOLOGI &amp; PERINGATAN PENTING</x:v>
      </x:c>
      <x:c r="B19" s="3"/>
      <x:c r="C19" s="3"/>
      <x:c r="D19" s="3"/>
      <x:c r="E19" s="3"/>
      <x:c r="F19" s="3"/>
      <x:c r="G19" s="3"/>
      <x:c r="H19" s="3"/>
    </x:row>
    <x:row r="20" ht="28" customHeight="1">
      <x:c r="A20" s="32" t="str">
        <x:v>1. Angka pendapatan grup Wilmar dan GAR mencakup bisnis global, perdagangan dan pengolahan; JANGAN disetarakan dengan ekstraksi Indonesia.</x:v>
      </x:c>
      <x:c r="B20" s="32"/>
      <x:c r="C20" s="32"/>
      <x:c r="D20" s="32"/>
      <x:c r="E20" s="32"/>
      <x:c r="F20" s="32"/>
      <x:c r="G20" s="32"/>
      <x:c r="H20" s="32"/>
    </x:row>
    <x:row r="21" ht="28" customHeight="1">
      <x:c r="A21" s="35" t="str">
        <x:v>2. Saham tercatat di Singapura TIDAK sama dengan pemegang saham adalah warga atau residen Singapura.</x:v>
      </x:c>
      <x:c r="B21" s="35"/>
      <x:c r="C21" s="35"/>
      <x:c r="D21" s="35"/>
      <x:c r="E21" s="35"/>
      <x:c r="F21" s="35"/>
      <x:c r="G21" s="35"/>
      <x:c r="H21" s="35"/>
    </x:row>
    <x:row r="22" ht="28" customHeight="1">
      <x:c r="A22" s="32" t="str">
        <x:v>3. Dividen bruto Astra→JCC merupakan perhitungan DPS × saham acuan; perlu cap table tepat pada recording date.</x:v>
      </x:c>
      <x:c r="B22" s="32"/>
      <x:c r="C22" s="32"/>
      <x:c r="D22" s="32"/>
      <x:c r="E22" s="32"/>
      <x:c r="F22" s="32"/>
      <x:c r="G22" s="32"/>
      <x:c r="H22" s="32"/>
    </x:row>
    <x:row r="23" ht="28" customHeight="1">
      <x:c r="A23" s="35" t="str">
        <x:v>4. GEMS→GEAR adalah estimasi indikatif, jangan jumlahkan dengan dividen GEMS seluruh pemegang saham.</x:v>
      </x:c>
      <x:c r="B23" s="35"/>
      <x:c r="C23" s="35"/>
      <x:c r="D23" s="35"/>
      <x:c r="E23" s="35"/>
      <x:c r="F23" s="35"/>
      <x:c r="G23" s="35"/>
      <x:c r="H23" s="35"/>
    </x:row>
    <x:row r="24" ht="28" customHeight="1">
      <x:c r="A24" s="32" t="str">
        <x:v>5. Haze: notices Pasal 10 kepada 10 grup SG adalah permintaan informasi. Bukan temuan bersalah atas pembakaran.</x:v>
      </x:c>
      <x:c r="B24" s="32"/>
      <x:c r="C24" s="32"/>
      <x:c r="D24" s="32"/>
      <x:c r="E24" s="32"/>
      <x:c r="F24" s="32"/>
      <x:c r="G24" s="32"/>
      <x:c r="H24" s="32"/>
    </x:row>
  </x:sheetData>
  <x:mergeCells>
    <x:mergeCell ref="A1:H1"/>
    <x:mergeCell ref="A2:H2"/>
    <x:mergeCell ref="A4:C4"/>
    <x:mergeCell ref="D4:F4"/>
    <x:mergeCell ref="G4:H4"/>
    <x:mergeCell ref="A5:C5"/>
    <x:mergeCell ref="D5:F5"/>
    <x:mergeCell ref="G5:H5"/>
    <x:mergeCell ref="A6:C6"/>
    <x:mergeCell ref="D6:F6"/>
    <x:mergeCell ref="G6:H6"/>
    <x:mergeCell ref="A8:H8"/>
    <x:mergeCell ref="A19:H19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14" hidden="0" customWidth="1"/>
    <x:col min="4" max="4" width="31" hidden="0" customWidth="1"/>
    <x:col min="5" max="5" width="32" hidden="0" customWidth="1"/>
    <x:col min="6" max="6" width="11" hidden="0" customWidth="1"/>
    <x:col min="7" max="7" width="15" hidden="0" customWidth="1"/>
    <x:col min="8" max="8" width="26" hidden="0" customWidth="1"/>
    <x:col min="9" max="9" width="19" hidden="0" customWidth="1"/>
    <x:col min="10" max="10" width="25" hidden="0" customWidth="1"/>
    <x:col min="11" max="11" width="14" hidden="0" customWidth="1"/>
    <x:col min="12" max="12" width="29" hidden="0" customWidth="1"/>
    <x:col min="13" max="13" width="66" hidden="0" customWidth="1"/>
    <x:col min="14" max="14" width="20" hidden="0" customWidth="1"/>
  </x:cols>
  <x:sheetData>
    <x:row r="1" ht="32" customHeight="1">
      <x:c r="A1" s="5" t="str">
        <x:v>ID</x:v>
      </x:c>
      <x:c r="B1" s="5" t="str">
        <x:v>Perusahaan</x:v>
      </x:c>
      <x:c r="C1" s="5" t="str">
        <x:v>Sektor</x:v>
      </x:c>
      <x:c r="D1" s="5" t="str">
        <x:v>Koneksi SG</x:v>
      </x:c>
      <x:c r="E1" s="5" t="str">
        <x:v>Wilayah operasi</x:v>
      </x:c>
      <x:c r="F1" s="5" t="str">
        <x:v>Tahun</x:v>
      </x:c>
      <x:c r="G1" s="5" t="str">
        <x:v>Skala fisik</x:v>
      </x:c>
      <x:c r="H1" s="5" t="str">
        <x:v>Unit fisik</x:v>
      </x:c>
      <x:c r="I1" s="5" t="str">
        <x:v>Pendapatan</x:v>
      </x:c>
      <x:c r="J1" s="5" t="str">
        <x:v>Unit pendapatan</x:v>
      </x:c>
      <x:c r="K1" s="5" t="str">
        <x:v>Laba</x:v>
      </x:c>
      <x:c r="L1" s="5" t="str">
        <x:v>Unit laba</x:v>
      </x:c>
      <x:c r="M1" s="5" t="str">
        <x:v>Batasan</x:v>
      </x:c>
      <x:c r="N1" s="5" t="str">
        <x:v>Sumber</x:v>
      </x:c>
    </x:row>
    <x:row r="2" ht="26" customHeight="1">
      <x:c r="A2" s="12" t="str">
        <x:v>C01</x:v>
      </x:c>
      <x:c r="B2" t="str">
        <x:v>Geo Energy Resources</x:v>
      </x:c>
      <x:c r="C2" t="str">
        <x:v>Coal</x:v>
      </x:c>
      <x:c r="D2" t="str">
        <x:v>SGX-listed SG company</x:v>
      </x:c>
      <x:c r="E2" t="str">
        <x:v>Indonesia (South Kalimantan and South Sumatra)</x:v>
      </x:c>
      <x:c r="F2" t="n">
        <x:v>2025</x:v>
      </x:c>
      <x:c r="G2" t="n">
        <x:v>12.5</x:v>
      </x:c>
      <x:c r="H2" t="str">
        <x:v>million tonnes coal produced</x:v>
      </x:c>
      <x:c r="I2" t="n">
        <x:v>562.7</x:v>
      </x:c>
      <x:c r="J2" t="str">
        <x:v>USD million</x:v>
      </x:c>
      <x:c r="K2"/>
      <x:c r="L2" t="str">
        <x:v>USD million</x:v>
      </x:c>
      <x:c r="M2" t="str">
        <x:v>Gross group revenue is Indonesian coal; net profit left blank pending full reconciliation</x:v>
      </x:c>
      <x:c r="N2" t="str">
        <x:v>SRC01</x:v>
      </x:c>
    </x:row>
    <x:row r="3" ht="25" customHeight="1">
      <x:c r="A3" t="str">
        <x:v>C02</x:v>
      </x:c>
      <x:c r="B3" t="str">
        <x:v>Golden Energy Mines (GEMS)</x:v>
      </x:c>
      <x:c r="C3" t="str">
        <x:v>Coal</x:v>
      </x:c>
      <x:c r="D3" t="str">
        <x:v>IDX issuer; ~7.0% by Golden Energy and Resources Ltd (SG)</x:v>
      </x:c>
      <x:c r="E3" t="str">
        <x:v>Indonesia (South Kalimantan and Sumatra)</x:v>
      </x:c>
      <x:c r="F3" t="n">
        <x:v>2025</x:v>
      </x:c>
      <x:c r="G3" t="n">
        <x:v>54.95</x:v>
      </x:c>
      <x:c r="H3" t="str">
        <x:v>million tonnes coal produced</x:v>
      </x:c>
      <x:c r="I3" t="n">
        <x:v>2414.05</x:v>
      </x:c>
      <x:c r="J3" t="str">
        <x:v>USD million</x:v>
      </x:c>
      <x:c r="K3" t="n">
        <x:v>259.79</x:v>
      </x:c>
      <x:c r="L3" t="str">
        <x:v>USD million (company annual profit headline)</x:v>
      </x:c>
      <x:c r="M3" t="str">
        <x:v>SG company GEAR delisted 2023; majority controlled by PT Dian Swastatika Sentosa 51%</x:v>
      </x:c>
      <x:c r="N3" t="str">
        <x:v>SRC02|SRC03|SRC06</x:v>
      </x:c>
    </x:row>
    <x:row r="4" ht="25" customHeight="1">
      <x:c r="A4" t="str">
        <x:v>C03</x:v>
      </x:c>
      <x:c r="B4" t="str">
        <x:v>Bumitama Agri</x:v>
      </x:c>
      <x:c r="C4" t="str">
        <x:v>Palm oil</x:v>
      </x:c>
      <x:c r="D4" t="str">
        <x:v>SGX-listed SG company</x:v>
      </x:c>
      <x:c r="E4" t="str">
        <x:v>Indonesia (Central/West Kalimantan)</x:v>
      </x:c>
      <x:c r="F4" t="n">
        <x:v>2025</x:v>
      </x:c>
      <x:c r="G4" t="n">
        <x:v>184000</x:v>
      </x:c>
      <x:c r="H4" t="str">
        <x:v>ha planted ~</x:v>
      </x:c>
      <x:c r="I4" t="n">
        <x:v>19951</x:v>
      </x:c>
      <x:c r="J4" t="str">
        <x:v>IDR billion</x:v>
      </x:c>
      <x:c r="K4" t="n">
        <x:v>2803</x:v>
      </x:c>
      <x:c r="L4" t="str">
        <x:v>IDR billion (attributable)</x:v>
      </x:c>
      <x:c r="M4" t="str">
        <x:v>Indonesian Hariyanto/Harita-related majority; Malaysian IOI significant deemed ownership; registered SG != resident SG</x:v>
      </x:c>
      <x:c r="N4" t="str">
        <x:v>SRC07|SRC08</x:v>
      </x:c>
    </x:row>
    <x:row r="5" ht="25" customHeight="1">
      <x:c r="A5" t="str">
        <x:v>C04</x:v>
      </x:c>
      <x:c r="B5" t="str">
        <x:v>Golden Agri-Resources</x:v>
      </x:c>
      <x:c r="C5" t="str">
        <x:v>Palm oil</x:v>
      </x:c>
      <x:c r="D5" t="str">
        <x:v>SGX listed; Widjaja Family Master Trust 50.56%</x:v>
      </x:c>
      <x:c r="E5" t="str">
        <x:v>Indonesia plantations; worldwide integrated downstream</x:v>
      </x:c>
      <x:c r="F5" t="n">
        <x:v>2025</x:v>
      </x:c>
      <x:c r="G5" t="n">
        <x:v>531000</x:v>
      </x:c>
      <x:c r="H5" t="str">
        <x:v>ha planted Indonesia incl plasma</x:v>
      </x:c>
      <x:c r="I5" t="n">
        <x:v>12951.478</x:v>
      </x:c>
      <x:c r="J5" t="str">
        <x:v>USD million</x:v>
      </x:c>
      <x:c r="K5" t="n">
        <x:v>400.198</x:v>
      </x:c>
      <x:c r="L5" t="str">
        <x:v>USD million (attributable)</x:v>
      </x:c>
      <x:c r="M5" t="str">
        <x:v>Revenue global group incl processing and trade; avoid attributing all to Indonesian extraction</x:v>
      </x:c>
      <x:c r="N5" t="str">
        <x:v>SRC10|SRC11|SRC12</x:v>
      </x:c>
    </x:row>
    <x:row r="6" ht="25" customHeight="1">
      <x:c r="A6" t="str">
        <x:v>C05</x:v>
      </x:c>
      <x:c r="B6" t="str">
        <x:v>Wilmar International</x:v>
      </x:c>
      <x:c r="C6" t="str">
        <x:v>Integrated agribusiness</x:v>
      </x:c>
      <x:c r="D6" t="str">
        <x:v>SG-headquartered &amp; SGX listed; dispersed international owners</x:v>
      </x:c>
      <x:c r="E6" t="str">
        <x:v>Indonesia and worldwide</x:v>
      </x:c>
      <x:c r="F6" t="n">
        <x:v>2025</x:v>
      </x:c>
      <x:c r="G6" t="n">
        <x:v>154660</x:v>
      </x:c>
      <x:c r="H6" t="str">
        <x:v>ha Indonesia plantations approx (66% of group)</x:v>
      </x:c>
      <x:c r="I6" t="n">
        <x:v>70415.698</x:v>
      </x:c>
      <x:c r="J6" t="str">
        <x:v>USD million</x:v>
      </x:c>
      <x:c r="K6" t="n">
        <x:v>1410.872</x:v>
      </x:c>
      <x:c r="L6" t="str">
        <x:v>USD million (attributable)</x:v>
      </x:c>
      <x:c r="M6" t="str">
        <x:v>66% share of 234334ha is an approximation. Global manufacturing / trading; do not sum as Indonesian extraction.</x:v>
      </x:c>
      <x:c r="N6" t="str">
        <x:v>SRC13|SRC14|SRC15</x:v>
      </x:c>
    </x:row>
    <x:row r="7" ht="25" customHeight="1">
      <x:c r="A7" t="str">
        <x:v>C06</x:v>
      </x:c>
      <x:c r="B7" t="str">
        <x:v>First Resources</x:v>
      </x:c>
      <x:c r="C7" t="str">
        <x:v>Palm oil</x:v>
      </x:c>
      <x:c r="D7" t="str">
        <x:v>SGX listed; Eight Capital Inc substantial shareholder</x:v>
      </x:c>
      <x:c r="E7" t="str">
        <x:v>Indonesia incl newly acquired ANJ</x:v>
      </x:c>
      <x:c r="F7" t="n">
        <x:v>2025</x:v>
      </x:c>
      <x:c r="G7" t="n">
        <x:v>1300000</x:v>
      </x:c>
      <x:c r="H7" t="str">
        <x:v>tonnes CPO produced</x:v>
      </x:c>
      <x:c r="I7" t="n">
        <x:v>1661.1</x:v>
      </x:c>
      <x:c r="J7" t="str">
        <x:v>USD million</x:v>
      </x:c>
      <x:c r="K7"/>
      <x:c r="L7" t="str">
        <x:v>USD million</x:v>
      </x:c>
      <x:c r="M7" t="str">
        <x:v>Has &gt;270k ha Indonesia; 2025 revenue includes ANJ acquired May2025</x:v>
      </x:c>
      <x:c r="N7" t="str">
        <x:v>SRC16|SRC17|SRC18</x:v>
      </x:c>
    </x:row>
    <x:row r="8" ht="25" customHeight="1">
      <x:c r="A8" t="str">
        <x:v>C07</x:v>
      </x:c>
      <x:c r="B8" t="str">
        <x:v>Jardine Cycle &amp; Carriage / Astra</x:v>
      </x:c>
      <x:c r="C8" t="str">
        <x:v>Diversified: mine, heavy equipment, automotive, finance etc.</x:v>
      </x:c>
      <x:c r="D8" t="str">
        <x:v>JCC SG company owns 50.11% Indonesian Astra</x:v>
      </x:c>
      <x:c r="E8" t="str">
        <x:v>Indonesia (Astra; multiple sectors)</x:v>
      </x:c>
      <x:c r="F8" t="n">
        <x:v>2025</x:v>
      </x:c>
      <x:c r="G8" t="n">
        <x:v>50.11</x:v>
      </x:c>
      <x:c r="H8" t="str">
        <x:v>% of Astra shares</x:v>
      </x:c>
      <x:c r="I8" t="n">
        <x:v>323392</x:v>
      </x:c>
      <x:c r="J8" t="str">
        <x:v>IDR billion (Astra group)</x:v>
      </x:c>
      <x:c r="K8" t="n">
        <x:v>32769</x:v>
      </x:c>
      <x:c r="L8" t="str">
        <x:v>IDR billion (Astra attributable)</x:v>
      </x:c>
      <x:c r="M8" t="str">
        <x:v>Astra figures cannot be read as coal/sawit-only. JCC group Indonesia profit contribution USD945m is accounting, not cash.</x:v>
      </x:c>
      <x:c r="N8" t="str">
        <x:v>SRC21|SRC23|SRC24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27" hidden="0" customWidth="1"/>
    <x:col min="4" max="4" width="18" hidden="0" customWidth="1"/>
    <x:col min="5" max="5" width="18" hidden="0" customWidth="1"/>
    <x:col min="6" max="6" width="22" hidden="0" customWidth="1"/>
    <x:col min="7" max="7" width="12" hidden="0" customWidth="1"/>
    <x:col min="8" max="8" width="55" hidden="0" customWidth="1"/>
  </x:cols>
  <x:sheetData>
    <x:row r="1" ht="32" customHeight="1">
      <x:c r="A1" s="5" t="str">
        <x:v>Perusahaan</x:v>
      </x:c>
      <x:c r="B1" s="5" t="str">
        <x:v>Tahun</x:v>
      </x:c>
      <x:c r="C1" s="5" t="str">
        <x:v>Metrik</x:v>
      </x:c>
      <x:c r="D1" s="5" t="str">
        <x:v>Nilai</x:v>
      </x:c>
      <x:c r="E1" s="5" t="str">
        <x:v>Satuan</x:v>
      </x:c>
      <x:c r="F1" s="5" t="str">
        <x:v>Cakupan</x:v>
      </x:c>
      <x:c r="G1" s="5" t="str">
        <x:v>Sumber</x:v>
      </x:c>
      <x:c r="H1" s="5" t="str">
        <x:v>Catatan</x:v>
      </x:c>
    </x:row>
    <x:row r="2" ht="26" customHeight="1">
      <x:c r="A2" s="12" t="str">
        <x:v>Bumitama Agri</x:v>
      </x:c>
      <x:c r="B2" t="n">
        <x:v>2021</x:v>
      </x:c>
      <x:c r="C2" t="str">
        <x:v>Revenue</x:v>
      </x:c>
      <x:c r="D2" t="n">
        <x:v>12249</x:v>
      </x:c>
      <x:c r="E2" t="str">
        <x:v>IDR billion</x:v>
      </x:c>
      <x:c r="F2" t="str">
        <x:v>Group</x:v>
      </x:c>
      <x:c r="G2" t="str">
        <x:v>SRC07</x:v>
      </x:c>
      <x:c r="H2" t="str"/>
    </x:row>
    <x:row r="3" ht="25" customHeight="1">
      <x:c r="A3" t="str">
        <x:v>Bumitama Agri</x:v>
      </x:c>
      <x:c r="B3" t="n">
        <x:v>2021</x:v>
      </x:c>
      <x:c r="C3" t="str">
        <x:v>Profit attributable to owners</x:v>
      </x:c>
      <x:c r="D3" t="n">
        <x:v>1721</x:v>
      </x:c>
      <x:c r="E3" t="str">
        <x:v>IDR billion</x:v>
      </x:c>
      <x:c r="F3" t="str">
        <x:v>Group</x:v>
      </x:c>
      <x:c r="G3" t="str">
        <x:v>SRC07</x:v>
      </x:c>
      <x:c r="H3" t="str"/>
    </x:row>
    <x:row r="4" ht="25" customHeight="1">
      <x:c r="A4" t="str">
        <x:v>Bumitama Agri</x:v>
      </x:c>
      <x:c r="B4" t="n">
        <x:v>2022</x:v>
      </x:c>
      <x:c r="C4" t="str">
        <x:v>Revenue</x:v>
      </x:c>
      <x:c r="D4" t="n">
        <x:v>15829</x:v>
      </x:c>
      <x:c r="E4" t="str">
        <x:v>IDR billion</x:v>
      </x:c>
      <x:c r="F4" t="str">
        <x:v>Group</x:v>
      </x:c>
      <x:c r="G4" t="str">
        <x:v>SRC07</x:v>
      </x:c>
      <x:c r="H4" t="str"/>
    </x:row>
    <x:row r="5" ht="25" customHeight="1">
      <x:c r="A5" t="str">
        <x:v>Bumitama Agri</x:v>
      </x:c>
      <x:c r="B5" t="n">
        <x:v>2022</x:v>
      </x:c>
      <x:c r="C5" t="str">
        <x:v>Profit attributable to owners</x:v>
      </x:c>
      <x:c r="D5" t="n">
        <x:v>2826</x:v>
      </x:c>
      <x:c r="E5" t="str">
        <x:v>IDR billion</x:v>
      </x:c>
      <x:c r="F5" t="str">
        <x:v>Group</x:v>
      </x:c>
      <x:c r="G5" t="str">
        <x:v>SRC07</x:v>
      </x:c>
      <x:c r="H5" t="str"/>
    </x:row>
    <x:row r="6" ht="25" customHeight="1">
      <x:c r="A6" t="str">
        <x:v>Bumitama Agri</x:v>
      </x:c>
      <x:c r="B6" t="n">
        <x:v>2023</x:v>
      </x:c>
      <x:c r="C6" t="str">
        <x:v>Revenue</x:v>
      </x:c>
      <x:c r="D6" t="n">
        <x:v>15443</x:v>
      </x:c>
      <x:c r="E6" t="str">
        <x:v>IDR billion</x:v>
      </x:c>
      <x:c r="F6" t="str">
        <x:v>Group</x:v>
      </x:c>
      <x:c r="G6" t="str">
        <x:v>SRC07</x:v>
      </x:c>
      <x:c r="H6" t="str"/>
    </x:row>
    <x:row r="7" ht="25" customHeight="1">
      <x:c r="A7" t="str">
        <x:v>Bumitama Agri</x:v>
      </x:c>
      <x:c r="B7" t="n">
        <x:v>2023</x:v>
      </x:c>
      <x:c r="C7" t="str">
        <x:v>Profit attributable to owners</x:v>
      </x:c>
      <x:c r="D7" t="n">
        <x:v>2449</x:v>
      </x:c>
      <x:c r="E7" t="str">
        <x:v>IDR billion</x:v>
      </x:c>
      <x:c r="F7" t="str">
        <x:v>Group</x:v>
      </x:c>
      <x:c r="G7" t="str">
        <x:v>SRC07</x:v>
      </x:c>
      <x:c r="H7" t="str"/>
    </x:row>
    <x:row r="8" ht="25" customHeight="1">
      <x:c r="A8" t="str">
        <x:v>Bumitama Agri</x:v>
      </x:c>
      <x:c r="B8" t="n">
        <x:v>2024</x:v>
      </x:c>
      <x:c r="C8" t="str">
        <x:v>Revenue</x:v>
      </x:c>
      <x:c r="D8" t="n">
        <x:v>16732</x:v>
      </x:c>
      <x:c r="E8" t="str">
        <x:v>IDR billion</x:v>
      </x:c>
      <x:c r="F8" t="str">
        <x:v>Group</x:v>
      </x:c>
      <x:c r="G8" t="str">
        <x:v>SRC07</x:v>
      </x:c>
      <x:c r="H8" t="str"/>
    </x:row>
    <x:row r="9" ht="25" customHeight="1">
      <x:c r="A9" t="str">
        <x:v>Bumitama Agri</x:v>
      </x:c>
      <x:c r="B9" t="n">
        <x:v>2024</x:v>
      </x:c>
      <x:c r="C9" t="str">
        <x:v>Profit attributable to owners</x:v>
      </x:c>
      <x:c r="D9" t="n">
        <x:v>2287</x:v>
      </x:c>
      <x:c r="E9" t="str">
        <x:v>IDR billion</x:v>
      </x:c>
      <x:c r="F9" t="str">
        <x:v>Group</x:v>
      </x:c>
      <x:c r="G9" t="str">
        <x:v>SRC07</x:v>
      </x:c>
      <x:c r="H9" t="str"/>
    </x:row>
    <x:row r="10" ht="25" customHeight="1">
      <x:c r="A10" t="str">
        <x:v>Bumitama Agri</x:v>
      </x:c>
      <x:c r="B10" t="n">
        <x:v>2025</x:v>
      </x:c>
      <x:c r="C10" t="str">
        <x:v>Revenue</x:v>
      </x:c>
      <x:c r="D10" t="n">
        <x:v>19951</x:v>
      </x:c>
      <x:c r="E10" t="str">
        <x:v>IDR billion</x:v>
      </x:c>
      <x:c r="F10" t="str">
        <x:v>Group</x:v>
      </x:c>
      <x:c r="G10" t="str">
        <x:v>SRC07</x:v>
      </x:c>
      <x:c r="H10" t="str"/>
    </x:row>
    <x:row r="11" ht="25" customHeight="1">
      <x:c r="A11" t="str">
        <x:v>Bumitama Agri</x:v>
      </x:c>
      <x:c r="B11" t="n">
        <x:v>2025</x:v>
      </x:c>
      <x:c r="C11" t="str">
        <x:v>Profit attributable to owners</x:v>
      </x:c>
      <x:c r="D11" t="n">
        <x:v>2803</x:v>
      </x:c>
      <x:c r="E11" t="str">
        <x:v>IDR billion</x:v>
      </x:c>
      <x:c r="F11" t="str">
        <x:v>Group</x:v>
      </x:c>
      <x:c r="G11" t="str">
        <x:v>SRC07</x:v>
      </x:c>
      <x:c r="H11" t="str"/>
    </x:row>
    <x:row r="12" ht="25" customHeight="1">
      <x:c r="A12" t="str">
        <x:v>Wilmar International</x:v>
      </x:c>
      <x:c r="B12" t="n">
        <x:v>2021</x:v>
      </x:c>
      <x:c r="C12" t="str">
        <x:v>Revenue</x:v>
      </x:c>
      <x:c r="D12" t="n">
        <x:v>65794</x:v>
      </x:c>
      <x:c r="E12" t="str">
        <x:v>USD million</x:v>
      </x:c>
      <x:c r="F12" t="str">
        <x:v>Global group</x:v>
      </x:c>
      <x:c r="G12" t="str">
        <x:v>SRC15</x:v>
      </x:c>
      <x:c r="H12" t="str"/>
    </x:row>
    <x:row r="13" ht="25" customHeight="1">
      <x:c r="A13" t="str">
        <x:v>Wilmar International</x:v>
      </x:c>
      <x:c r="B13" t="n">
        <x:v>2021</x:v>
      </x:c>
      <x:c r="C13" t="str">
        <x:v>Profit attributable to owners</x:v>
      </x:c>
      <x:c r="D13" t="n">
        <x:v>1890</x:v>
      </x:c>
      <x:c r="E13" t="str">
        <x:v>USD million</x:v>
      </x:c>
      <x:c r="F13" t="str">
        <x:v>Global group</x:v>
      </x:c>
      <x:c r="G13" t="str">
        <x:v>SRC15</x:v>
      </x:c>
      <x:c r="H13" t="str"/>
    </x:row>
    <x:row r="14" ht="25" customHeight="1">
      <x:c r="A14" t="str">
        <x:v>Wilmar International</x:v>
      </x:c>
      <x:c r="B14" t="n">
        <x:v>2022</x:v>
      </x:c>
      <x:c r="C14" t="str">
        <x:v>Revenue</x:v>
      </x:c>
      <x:c r="D14" t="n">
        <x:v>73399</x:v>
      </x:c>
      <x:c r="E14" t="str">
        <x:v>USD million</x:v>
      </x:c>
      <x:c r="F14" t="str">
        <x:v>Global group</x:v>
      </x:c>
      <x:c r="G14" t="str">
        <x:v>SRC15</x:v>
      </x:c>
      <x:c r="H14" t="str"/>
    </x:row>
    <x:row r="15" ht="25" customHeight="1">
      <x:c r="A15" t="str">
        <x:v>Wilmar International</x:v>
      </x:c>
      <x:c r="B15" t="n">
        <x:v>2022</x:v>
      </x:c>
      <x:c r="C15" t="str">
        <x:v>Profit attributable to owners</x:v>
      </x:c>
      <x:c r="D15" t="n">
        <x:v>2402</x:v>
      </x:c>
      <x:c r="E15" t="str">
        <x:v>USD million</x:v>
      </x:c>
      <x:c r="F15" t="str">
        <x:v>Global group</x:v>
      </x:c>
      <x:c r="G15" t="str">
        <x:v>SRC15</x:v>
      </x:c>
      <x:c r="H15" t="str"/>
    </x:row>
    <x:row r="16" ht="25" customHeight="1">
      <x:c r="A16" t="str">
        <x:v>Wilmar International</x:v>
      </x:c>
      <x:c r="B16" t="n">
        <x:v>2023</x:v>
      </x:c>
      <x:c r="C16" t="str">
        <x:v>Revenue</x:v>
      </x:c>
      <x:c r="D16" t="n">
        <x:v>67155</x:v>
      </x:c>
      <x:c r="E16" t="str">
        <x:v>USD million</x:v>
      </x:c>
      <x:c r="F16" t="str">
        <x:v>Global group</x:v>
      </x:c>
      <x:c r="G16" t="str">
        <x:v>SRC15</x:v>
      </x:c>
      <x:c r="H16" t="str"/>
    </x:row>
    <x:row r="17" ht="25" customHeight="1">
      <x:c r="A17" t="str">
        <x:v>Wilmar International</x:v>
      </x:c>
      <x:c r="B17" t="n">
        <x:v>2023</x:v>
      </x:c>
      <x:c r="C17" t="str">
        <x:v>Profit attributable to owners</x:v>
      </x:c>
      <x:c r="D17" t="n">
        <x:v>1525</x:v>
      </x:c>
      <x:c r="E17" t="str">
        <x:v>USD million</x:v>
      </x:c>
      <x:c r="F17" t="str">
        <x:v>Global group</x:v>
      </x:c>
      <x:c r="G17" t="str">
        <x:v>SRC15</x:v>
      </x:c>
      <x:c r="H17" t="str"/>
    </x:row>
    <x:row r="18" ht="25" customHeight="1">
      <x:c r="A18" t="str">
        <x:v>Wilmar International</x:v>
      </x:c>
      <x:c r="B18" t="n">
        <x:v>2024</x:v>
      </x:c>
      <x:c r="C18" t="str">
        <x:v>Revenue</x:v>
      </x:c>
      <x:c r="D18" t="n">
        <x:v>67379</x:v>
      </x:c>
      <x:c r="E18" t="str">
        <x:v>USD million</x:v>
      </x:c>
      <x:c r="F18" t="str">
        <x:v>Global group</x:v>
      </x:c>
      <x:c r="G18" t="str">
        <x:v>SRC15</x:v>
      </x:c>
      <x:c r="H18" t="str"/>
    </x:row>
    <x:row r="19" ht="25" customHeight="1">
      <x:c r="A19" t="str">
        <x:v>Wilmar International</x:v>
      </x:c>
      <x:c r="B19" t="n">
        <x:v>2024</x:v>
      </x:c>
      <x:c r="C19" t="str">
        <x:v>Profit attributable to owners</x:v>
      </x:c>
      <x:c r="D19" t="n">
        <x:v>1170</x:v>
      </x:c>
      <x:c r="E19" t="str">
        <x:v>USD million</x:v>
      </x:c>
      <x:c r="F19" t="str">
        <x:v>Global group</x:v>
      </x:c>
      <x:c r="G19" t="str">
        <x:v>SRC15</x:v>
      </x:c>
      <x:c r="H19" t="str"/>
    </x:row>
    <x:row r="20" ht="25" customHeight="1">
      <x:c r="A20" t="str">
        <x:v>Wilmar International</x:v>
      </x:c>
      <x:c r="B20" t="n">
        <x:v>2025</x:v>
      </x:c>
      <x:c r="C20" t="str">
        <x:v>Revenue</x:v>
      </x:c>
      <x:c r="D20" t="n">
        <x:v>70416</x:v>
      </x:c>
      <x:c r="E20" t="str">
        <x:v>USD million</x:v>
      </x:c>
      <x:c r="F20" t="str">
        <x:v>Global group</x:v>
      </x:c>
      <x:c r="G20" t="str">
        <x:v>SRC15</x:v>
      </x:c>
      <x:c r="H20" t="str"/>
    </x:row>
    <x:row r="21" ht="25" customHeight="1">
      <x:c r="A21" t="str">
        <x:v>Wilmar International</x:v>
      </x:c>
      <x:c r="B21" t="n">
        <x:v>2025</x:v>
      </x:c>
      <x:c r="C21" t="str">
        <x:v>Profit attributable to owners</x:v>
      </x:c>
      <x:c r="D21" t="n">
        <x:v>1411</x:v>
      </x:c>
      <x:c r="E21" t="str">
        <x:v>USD million</x:v>
      </x:c>
      <x:c r="F21" t="str">
        <x:v>Global group</x:v>
      </x:c>
      <x:c r="G21" t="str">
        <x:v>SRC15</x:v>
      </x:c>
      <x:c r="H21" t="str"/>
    </x:row>
    <x:row r="22" ht="25" customHeight="1">
      <x:c r="A22" t="str">
        <x:v>Geo Energy Resources</x:v>
      </x:c>
      <x:c r="B22" t="n">
        <x:v>2024</x:v>
      </x:c>
      <x:c r="C22" t="str">
        <x:v>Revenue</x:v>
      </x:c>
      <x:c r="D22" t="n">
        <x:v>401.898621</x:v>
      </x:c>
      <x:c r="E22" t="str">
        <x:v>USD million</x:v>
      </x:c>
      <x:c r="F22" t="str">
        <x:v>Group coal</x:v>
      </x:c>
      <x:c r="G22" t="str">
        <x:v>SRC01</x:v>
      </x:c>
      <x:c r="H22" t="str"/>
    </x:row>
    <x:row r="23" ht="25" customHeight="1">
      <x:c r="A23" t="str">
        <x:v>Geo Energy Resources</x:v>
      </x:c>
      <x:c r="B23" t="n">
        <x:v>2025</x:v>
      </x:c>
      <x:c r="C23" t="str">
        <x:v>Revenue</x:v>
      </x:c>
      <x:c r="D23" t="n">
        <x:v>562.663546</x:v>
      </x:c>
      <x:c r="E23" t="str">
        <x:v>USD million</x:v>
      </x:c>
      <x:c r="F23" t="str">
        <x:v>Group coal</x:v>
      </x:c>
      <x:c r="G23" t="str">
        <x:v>SRC01</x:v>
      </x:c>
      <x:c r="H23" t="str"/>
    </x:row>
    <x:row r="24" ht="25" customHeight="1">
      <x:c r="A24" t="str">
        <x:v>Golden Agri-Resources</x:v>
      </x:c>
      <x:c r="B24" t="n">
        <x:v>2024</x:v>
      </x:c>
      <x:c r="C24" t="str">
        <x:v>Revenue</x:v>
      </x:c>
      <x:c r="D24" t="n">
        <x:v>10909.719</x:v>
      </x:c>
      <x:c r="E24" t="str">
        <x:v>USD million</x:v>
      </x:c>
      <x:c r="F24" t="str">
        <x:v>Global group</x:v>
      </x:c>
      <x:c r="G24" t="str">
        <x:v>SRC10</x:v>
      </x:c>
      <x:c r="H24" t="str"/>
    </x:row>
    <x:row r="25" ht="25" customHeight="1">
      <x:c r="A25" t="str">
        <x:v>Golden Agri-Resources</x:v>
      </x:c>
      <x:c r="B25" t="n">
        <x:v>2024</x:v>
      </x:c>
      <x:c r="C25" t="str">
        <x:v>Profit attributable to owners</x:v>
      </x:c>
      <x:c r="D25" t="n">
        <x:v>364.552</x:v>
      </x:c>
      <x:c r="E25" t="str">
        <x:v>USD million</x:v>
      </x:c>
      <x:c r="F25" t="str">
        <x:v>Global group</x:v>
      </x:c>
      <x:c r="G25" t="str">
        <x:v>SRC10</x:v>
      </x:c>
      <x:c r="H25" t="str"/>
    </x:row>
    <x:row r="26" ht="25" customHeight="1">
      <x:c r="A26" t="str">
        <x:v>Golden Agri-Resources</x:v>
      </x:c>
      <x:c r="B26" t="n">
        <x:v>2025</x:v>
      </x:c>
      <x:c r="C26" t="str">
        <x:v>Revenue</x:v>
      </x:c>
      <x:c r="D26" t="n">
        <x:v>12951.478</x:v>
      </x:c>
      <x:c r="E26" t="str">
        <x:v>USD million</x:v>
      </x:c>
      <x:c r="F26" t="str">
        <x:v>Global group</x:v>
      </x:c>
      <x:c r="G26" t="str">
        <x:v>SRC10</x:v>
      </x:c>
      <x:c r="H26" t="str"/>
    </x:row>
    <x:row r="27" ht="25" customHeight="1">
      <x:c r="A27" t="str">
        <x:v>Golden Agri-Resources</x:v>
      </x:c>
      <x:c r="B27" t="n">
        <x:v>2025</x:v>
      </x:c>
      <x:c r="C27" t="str">
        <x:v>Profit attributable to owners</x:v>
      </x:c>
      <x:c r="D27" t="n">
        <x:v>400.198</x:v>
      </x:c>
      <x:c r="E27" t="str">
        <x:v>USD million</x:v>
      </x:c>
      <x:c r="F27" t="str">
        <x:v>Global group</x:v>
      </x:c>
      <x:c r="G27" t="str">
        <x:v>SRC10</x:v>
      </x:c>
      <x:c r="H27" t="str"/>
    </x:row>
    <x:row r="28" ht="25" customHeight="1">
      <x:c r="A28" t="str">
        <x:v>Astra International</x:v>
      </x:c>
      <x:c r="B28" t="n">
        <x:v>2024</x:v>
      </x:c>
      <x:c r="C28" t="str">
        <x:v>Revenue</x:v>
      </x:c>
      <x:c r="D28" t="n">
        <x:v>328480</x:v>
      </x:c>
      <x:c r="E28" t="str">
        <x:v>IDR billion</x:v>
      </x:c>
      <x:c r="F28" t="str">
        <x:v>Astra group all sectors</x:v>
      </x:c>
      <x:c r="G28" t="str">
        <x:v>SRC23</x:v>
      </x:c>
      <x:c r="H28" t="str">
        <x:v>2024 values may be restated due PSAK117; compare official 2025 result.</x:v>
      </x:c>
    </x:row>
    <x:row r="29" ht="25" customHeight="1">
      <x:c r="A29" t="str">
        <x:v>Astra International</x:v>
      </x:c>
      <x:c r="B29" t="n">
        <x:v>2025</x:v>
      </x:c>
      <x:c r="C29" t="str">
        <x:v>Revenue</x:v>
      </x:c>
      <x:c r="D29" t="n">
        <x:v>323392</x:v>
      </x:c>
      <x:c r="E29" t="str">
        <x:v>IDR billion</x:v>
      </x:c>
      <x:c r="F29" t="str">
        <x:v>Astra group all sectors</x:v>
      </x:c>
      <x:c r="G29" t="str">
        <x:v>SRC23</x:v>
      </x:c>
      <x:c r="H29" t="str">
        <x:v>2024 values may be restated due PSAK117; compare official 2025 result.</x:v>
      </x:c>
    </x:row>
    <x:row r="30" ht="25" customHeight="1">
      <x:c r="A30" t="str">
        <x:v>Geo Energy Resources</x:v>
      </x:c>
      <x:c r="B30" t="n">
        <x:v>2024</x:v>
      </x:c>
      <x:c r="C30" t="str">
        <x:v>Coal production</x:v>
      </x:c>
      <x:c r="D30" t="n">
        <x:v>7.9</x:v>
      </x:c>
      <x:c r="E30" t="str">
        <x:v>million tonnes</x:v>
      </x:c>
      <x:c r="F30" t="str">
        <x:v>Indonesia</x:v>
      </x:c>
      <x:c r="G30" t="str">
        <x:v>SRC01</x:v>
      </x:c>
      <x:c r="H30" t="str"/>
    </x:row>
    <x:row r="31" ht="25" customHeight="1">
      <x:c r="A31" t="str">
        <x:v>Geo Energy Resources</x:v>
      </x:c>
      <x:c r="B31" t="n">
        <x:v>2025</x:v>
      </x:c>
      <x:c r="C31" t="str">
        <x:v>Coal production</x:v>
      </x:c>
      <x:c r="D31" t="n">
        <x:v>12.5</x:v>
      </x:c>
      <x:c r="E31" t="str">
        <x:v>million tonnes</x:v>
      </x:c>
      <x:c r="F31" t="str">
        <x:v>Indonesia</x:v>
      </x:c>
      <x:c r="G31" t="str">
        <x:v>SRC01</x:v>
      </x:c>
      <x:c r="H31" t="str"/>
    </x:row>
    <x:row r="32" ht="25" customHeight="1">
      <x:c r="A32" t="str">
        <x:v>Golden Energy Mines</x:v>
      </x:c>
      <x:c r="B32" t="n">
        <x:v>2025</x:v>
      </x:c>
      <x:c r="C32" t="str">
        <x:v>Coal production</x:v>
      </x:c>
      <x:c r="D32" t="n">
        <x:v>54.95</x:v>
      </x:c>
      <x:c r="E32" t="str">
        <x:v>million tonnes</x:v>
      </x:c>
      <x:c r="F32" t="str">
        <x:v>Indonesia</x:v>
      </x:c>
      <x:c r="G32" t="str">
        <x:v>SRC03</x:v>
      </x:c>
      <x:c r="H32" t="str"/>
    </x:row>
    <x:row r="33" ht="25" customHeight="1">
      <x:c r="A33" t="str">
        <x:v>First Resources</x:v>
      </x:c>
      <x:c r="B33" t="n">
        <x:v>2025</x:v>
      </x:c>
      <x:c r="C33" t="str">
        <x:v>Revenue</x:v>
      </x:c>
      <x:c r="D33" t="n">
        <x:v>1661.1</x:v>
      </x:c>
      <x:c r="E33" t="str">
        <x:v>USD million</x:v>
      </x:c>
      <x:c r="F33" t="str">
        <x:v>Group</x:v>
      </x:c>
      <x:c r="G33" t="str">
        <x:v>SRC16</x:v>
      </x:c>
      <x:c r="H3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35" hidden="0" customWidth="1"/>
    <x:col min="4" max="4" width="29" hidden="0" customWidth="1"/>
    <x:col min="5" max="5" width="12" hidden="0" customWidth="1"/>
    <x:col min="6" max="6" width="21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3" hidden="0" customWidth="1"/>
    <x:col min="12" max="12" width="25" hidden="0" customWidth="1"/>
    <x:col min="13" max="13" width="63" hidden="0" customWidth="1"/>
    <x:col min="14" max="14" width="20" hidden="0" customWidth="1"/>
    <x:col min="15" max="15" width="24" hidden="0" customWidth="1"/>
  </x:cols>
  <x:sheetData>
    <x:row r="1" ht="32" customHeight="1">
      <x:c r="A1" s="5" t="str">
        <x:v>ID</x:v>
      </x:c>
      <x:c r="B1" s="5" t="str">
        <x:v>Pembayar</x:v>
      </x:c>
      <x:c r="C1" s="5" t="str">
        <x:v>Penerima</x:v>
      </x:c>
      <x:c r="D1" s="5" t="str">
        <x:v>Tanggal/basis</x:v>
      </x:c>
      <x:c r="E1" s="5" t="str">
        <x:v>Tahun bayar</x:v>
      </x:c>
      <x:c r="F1" s="5" t="str">
        <x:v>Saham acuan</x:v>
      </x:c>
      <x:c r="G1" s="5" t="str">
        <x:v>DPS</x:v>
      </x:c>
      <x:c r="H1" s="5" t="str">
        <x:v>Satuan DPS</x:v>
      </x:c>
      <x:c r="I1" s="5" t="str">
        <x:v>Total dilaporkan</x:v>
      </x:c>
      <x:c r="J1" s="5" t="str">
        <x:v>Mata uang</x:v>
      </x:c>
      <x:c r="K1" s="5" t="str">
        <x:v>Porsi %</x:v>
      </x:c>
      <x:c r="L1" s="5" t="str">
        <x:v>Metode</x:v>
      </x:c>
      <x:c r="M1" s="5" t="str">
        <x:v>Status bukti</x:v>
      </x:c>
      <x:c r="N1" s="5" t="str">
        <x:v>Sumber</x:v>
      </x:c>
      <x:c r="O1" s="5" t="str">
        <x:v>Hasil kalkulasi (IDR)</x:v>
      </x:c>
    </x:row>
    <x:row r="2" ht="26" customHeight="1">
      <x:c r="A2" s="12" t="str">
        <x:v>D01</x:v>
      </x:c>
      <x:c r="B2" t="str">
        <x:v>Astra International</x:v>
      </x:c>
      <x:c r="C2" t="str">
        <x:v>Jardine Cycle &amp; Carriage</x:v>
      </x:c>
      <x:c r="D2" t="str">
        <x:v>2025-06-05</x:v>
      </x:c>
      <x:c r="E2" t="n">
        <x:v>2025</x:v>
      </x:c>
      <x:c r="F2" s="12" t="n">
        <x:v>20288255040</x:v>
      </x:c>
      <x:c r="G2" s="12" t="n">
        <x:v>308</x:v>
      </x:c>
      <x:c r="H2" t="str">
        <x:v>IDR/share</x:v>
      </x:c>
      <x:c r="I2"/>
      <x:c r="J2" t="str">
        <x:v>IDR</x:v>
      </x:c>
      <x:c r="K2" t="n">
        <x:v>50.11</x:v>
      </x:c>
      <x:c r="L2" t="str">
        <x:v>number_shares_x_DPS</x:v>
      </x:c>
      <x:c r="M2" t="str">
        <x:v>B: reconstructed; exact recording-date shares require check</x:v>
      </x:c>
      <x:c r="N2" t="str">
        <x:v>SRC21|SRC22</x:v>
      </x:c>
      <x:c r="O2" s="38" t="n">
        <x:f>F2*G2</x:f>
        <x:v>6248782552320</x:v>
      </x:c>
    </x:row>
    <x:row r="3" ht="25" customHeight="1">
      <x:c r="A3" t="str">
        <x:v>D02</x:v>
      </x:c>
      <x:c r="B3" t="str">
        <x:v>Astra International</x:v>
      </x:c>
      <x:c r="C3" t="str">
        <x:v>Jardine Cycle &amp; Carriage</x:v>
      </x:c>
      <x:c r="D3" t="str">
        <x:v>2025-10-31</x:v>
      </x:c>
      <x:c r="E3" t="n">
        <x:v>2025</x:v>
      </x:c>
      <x:c r="F3" s="12" t="n">
        <x:v>20288255040</x:v>
      </x:c>
      <x:c r="G3" s="12" t="n">
        <x:v>98</x:v>
      </x:c>
      <x:c r="H3" t="str">
        <x:v>IDR/share</x:v>
      </x:c>
      <x:c r="I3"/>
      <x:c r="J3" t="str">
        <x:v>IDR</x:v>
      </x:c>
      <x:c r="K3" t="n">
        <x:v>50.11</x:v>
      </x:c>
      <x:c r="L3" t="str">
        <x:v>number_shares_x_DPS</x:v>
      </x:c>
      <x:c r="M3" t="str">
        <x:v>B: reconstructed; exact recording-date shares require check</x:v>
      </x:c>
      <x:c r="N3" t="str">
        <x:v>SRC21|SRC23</x:v>
      </x:c>
      <x:c r="O3" s="38" t="n">
        <x:f>F3*G3</x:f>
        <x:v>1988248993920</x:v>
      </x:c>
    </x:row>
    <x:row r="4" ht="25" customHeight="1">
      <x:c r="A4" t="str">
        <x:v>D03</x:v>
      </x:c>
      <x:c r="B4" t="str">
        <x:v>Astra International</x:v>
      </x:c>
      <x:c r="C4" t="str">
        <x:v>Jardine Cycle &amp; Carriage</x:v>
      </x:c>
      <x:c r="D4" t="str">
        <x:v>2026-05-25</x:v>
      </x:c>
      <x:c r="E4" t="n">
        <x:v>2026</x:v>
      </x:c>
      <x:c r="F4" s="12" t="n">
        <x:v>20288255040</x:v>
      </x:c>
      <x:c r="G4" s="12" t="n">
        <x:v>292</x:v>
      </x:c>
      <x:c r="H4" t="str">
        <x:v>IDR/share</x:v>
      </x:c>
      <x:c r="I4"/>
      <x:c r="J4" t="str">
        <x:v>IDR</x:v>
      </x:c>
      <x:c r="K4" t="n">
        <x:v>50.11</x:v>
      </x:c>
      <x:c r="L4" t="str">
        <x:v>number_shares_x_DPS</x:v>
      </x:c>
      <x:c r="M4" t="str">
        <x:v>B: indicative; company share buybacks, exact recording date verify</x:v>
      </x:c>
      <x:c r="N4" t="str">
        <x:v>SRC21|SRC23</x:v>
      </x:c>
      <x:c r="O4" s="38" t="n">
        <x:f>F4*G4</x:f>
        <x:v>5924170471680</x:v>
      </x:c>
    </x:row>
    <x:row r="5" ht="25" customHeight="1">
      <x:c r="A5" t="str">
        <x:v>D04</x:v>
      </x:c>
      <x:c r="B5" t="str">
        <x:v>Golden Energy Mines</x:v>
      </x:c>
      <x:c r="C5" t="str">
        <x:v>All shareholders</x:v>
      </x:c>
      <x:c r="D5" t="str">
        <x:v>2025-06-05</x:v>
      </x:c>
      <x:c r="E5" t="n">
        <x:v>2025</x:v>
      </x:c>
      <x:c r="F5"/>
      <x:c r="G5"/>
      <x:c r="H5" t="str">
        <x:v>n/a</x:v>
      </x:c>
      <x:c r="I5" t="n">
        <x:v>110</x:v>
      </x:c>
      <x:c r="J5" t="str">
        <x:v>USD million</x:v>
      </x:c>
      <x:c r="K5"/>
      <x:c r="L5" t="str">
        <x:v>reported_total</x:v>
      </x:c>
      <x:c r="M5" t="str">
        <x:v>A: final FY2024 paid Jun2025</x:v>
      </x:c>
      <x:c r="N5" t="str">
        <x:v>SRC05|SRC04</x:v>
      </x:c>
      <x:c r="O5"/>
    </x:row>
    <x:row r="6" ht="25" customHeight="1">
      <x:c r="A6" t="str">
        <x:v>D05</x:v>
      </x:c>
      <x:c r="B6" t="str">
        <x:v>Golden Energy Mines</x:v>
      </x:c>
      <x:c r="C6" t="str">
        <x:v>All shareholders</x:v>
      </x:c>
      <x:c r="D6" t="str">
        <x:v>2025-06-24</x:v>
      </x:c>
      <x:c r="E6" t="n">
        <x:v>2025</x:v>
      </x:c>
      <x:c r="F6"/>
      <x:c r="G6"/>
      <x:c r="H6" t="str">
        <x:v>n/a</x:v>
      </x:c>
      <x:c r="I6" t="n">
        <x:v>100</x:v>
      </x:c>
      <x:c r="J6" t="str">
        <x:v>USD million</x:v>
      </x:c>
      <x:c r="K6"/>
      <x:c r="L6" t="str">
        <x:v>reported_total</x:v>
      </x:c>
      <x:c r="M6" t="str">
        <x:v>A: interim FY2025 paid Jun2025</x:v>
      </x:c>
      <x:c r="N6" t="str">
        <x:v>SRC29|SRC04</x:v>
      </x:c>
      <x:c r="O6"/>
    </x:row>
    <x:row r="7" ht="25" customHeight="1">
      <x:c r="A7" t="str">
        <x:v>D06</x:v>
      </x:c>
      <x:c r="B7" t="str">
        <x:v>Golden Energy Mines</x:v>
      </x:c>
      <x:c r="C7" t="str">
        <x:v>Golden Energy and Resources (SG entity)</x:v>
      </x:c>
      <x:c r="D7" t="str">
        <x:v>2025 (proxy)</x:v>
      </x:c>
      <x:c r="E7" t="n">
        <x:v>2025</x:v>
      </x:c>
      <x:c r="F7"/>
      <x:c r="G7"/>
      <x:c r="H7" t="str">
        <x:v>n/a</x:v>
      </x:c>
      <x:c r="I7" t="n">
        <x:v>14.7</x:v>
      </x:c>
      <x:c r="J7" t="str">
        <x:v>USD million</x:v>
      </x:c>
      <x:c r="K7" t="n">
        <x:v>7</x:v>
      </x:c>
      <x:c r="L7" t="str">
        <x:v>7%*(110+100)</x:v>
      </x:c>
      <x:c r="M7" t="str">
        <x:v>C: indicative only, ownership % at recording dates not confirmed; D04 &amp; D05 overlap, never sum together</x:v>
      </x:c>
      <x:c r="N7" t="str">
        <x:v>SRC02|SRC05</x:v>
      </x:c>
      <x:c r="O7"/>
    </x:row>
    <x:row r="8" ht="25" customHeight="1">
      <x:c r="A8" t="str">
        <x:v>D07</x:v>
      </x:c>
      <x:c r="B8" t="str">
        <x:v>Geo Energy Resources</x:v>
      </x:c>
      <x:c r="C8" t="str">
        <x:v>All shareholders</x:v>
      </x:c>
      <x:c r="D8" t="str">
        <x:v>2025 (full calendar)</x:v>
      </x:c>
      <x:c r="E8" t="n">
        <x:v>2025</x:v>
      </x:c>
      <x:c r="F8"/>
      <x:c r="G8"/>
      <x:c r="H8" t="str">
        <x:v>n/a</x:v>
      </x:c>
      <x:c r="I8" t="n">
        <x:v>11.360497</x:v>
      </x:c>
      <x:c r="J8" t="str">
        <x:v>USD million</x:v>
      </x:c>
      <x:c r="K8"/>
      <x:c r="L8" t="str">
        <x:v>reported_total</x:v>
      </x:c>
      <x:c r="M8" t="str">
        <x:v>A: actual paid shareholder dividends, recipient domiciles unknown</x:v>
      </x:c>
      <x:c r="N8" t="str">
        <x:v>SRC01</x:v>
      </x:c>
      <x:c r="O8"/>
    </x:row>
    <x:row r="9" ht="25" customHeight="1">
      <x:c r="A9" t="str">
        <x:v>D08</x:v>
      </x:c>
      <x:c r="B9" t="str">
        <x:v>Golden Agri-Resources</x:v>
      </x:c>
      <x:c r="C9" t="str">
        <x:v>All shareholders</x:v>
      </x:c>
      <x:c r="D9" t="str">
        <x:v>2025 (full calendar)</x:v>
      </x:c>
      <x:c r="E9" t="n">
        <x:v>2025</x:v>
      </x:c>
      <x:c r="F9"/>
      <x:c r="G9"/>
      <x:c r="H9" t="str">
        <x:v>n/a</x:v>
      </x:c>
      <x:c r="I9" t="n">
        <x:v>78.337</x:v>
      </x:c>
      <x:c r="J9" t="str">
        <x:v>USD million</x:v>
      </x:c>
      <x:c r="K9"/>
      <x:c r="L9" t="str">
        <x:v>reported_total</x:v>
      </x:c>
      <x:c r="M9" t="str">
        <x:v>A: prior-year final dividend paid during 2025; SG investor identity breakdown unknown</x:v>
      </x:c>
      <x:c r="N9" t="str">
        <x:v>SRC10</x:v>
      </x:c>
      <x:c r="O9"/>
    </x:row>
    <x:row r="10" ht="25" customHeight="1">
      <x:c r="A10" t="str">
        <x:v>D09</x:v>
      </x:c>
      <x:c r="B10" t="str">
        <x:v>Golden Agri-Resources</x:v>
      </x:c>
      <x:c r="C10" t="str">
        <x:v>All shareholders</x:v>
      </x:c>
      <x:c r="D10" t="str">
        <x:v>2026 (proposed FY2025 final)</x:v>
      </x:c>
      <x:c r="E10" t="n">
        <x:v>2026</x:v>
      </x:c>
      <x:c r="F10"/>
      <x:c r="G10"/>
      <x:c r="H10" t="str">
        <x:v>n/a</x:v>
      </x:c>
      <x:c r="I10" t="n">
        <x:v>93.953</x:v>
      </x:c>
      <x:c r="J10" t="str">
        <x:v>USD million</x:v>
      </x:c>
      <x:c r="K10"/>
      <x:c r="L10" t="str">
        <x:v>reported_total</x:v>
      </x:c>
      <x:c r="M10" t="str">
        <x:v>B: proposal, not 2025 cash; verification of final approval/payment needed</x:v>
      </x:c>
      <x:c r="N10" t="str">
        <x:v>SRC10</x:v>
      </x:c>
      <x:c r="O10"/>
    </x:row>
    <x:row r="11" ht="25" customHeight="1">
      <x:c r="A11" t="str">
        <x:v>D10</x:v>
      </x:c>
      <x:c r="B11" t="str">
        <x:v>Bumitama Agri</x:v>
      </x:c>
      <x:c r="C11" t="str">
        <x:v>All shareholders</x:v>
      </x:c>
      <x:c r="D11" t="str">
        <x:v>FY2025 declaration</x:v>
      </x:c>
      <x:c r="E11" t="n">
        <x:v>2025</x:v>
      </x:c>
      <x:c r="F11"/>
      <x:c r="G11" t="n">
        <x:v>0.0935</x:v>
      </x:c>
      <x:c r="H11" t="str">
        <x:v>SGD/share</x:v>
      </x:c>
      <x:c r="I11"/>
      <x:c r="J11" t="str">
        <x:v>SGD</x:v>
      </x:c>
      <x:c r="K11"/>
      <x:c r="L11" t="str">
        <x:v>rate_only</x:v>
      </x:c>
      <x:c r="M11" t="str">
        <x:v>A: full FY2025 entitlement 9.35 cents/share incl final proposed in 2026; payment year differs</x:v>
      </x:c>
      <x:c r="N11" t="str">
        <x:v>SRC08</x:v>
      </x:c>
      <x:c r="O11"/>
    </x:row>
    <x:row r="12" ht="25" customHeight="1">
      <x:c r="A12" t="str">
        <x:v>D11</x:v>
      </x:c>
      <x:c r="B12" t="str">
        <x:v>First Resources</x:v>
      </x:c>
      <x:c r="C12" t="str">
        <x:v>All shareholders</x:v>
      </x:c>
      <x:c r="D12" t="str">
        <x:v>2025-09-10</x:v>
      </x:c>
      <x:c r="E12" t="n">
        <x:v>2025</x:v>
      </x:c>
      <x:c r="F12"/>
      <x:c r="G12" t="n">
        <x:v>0.045</x:v>
      </x:c>
      <x:c r="H12" t="str">
        <x:v>SGD/share</x:v>
      </x:c>
      <x:c r="I12"/>
      <x:c r="J12" t="str">
        <x:v>SGD</x:v>
      </x:c>
      <x:c r="K12"/>
      <x:c r="L12" t="str">
        <x:v>rate_only</x:v>
      </x:c>
      <x:c r="M12" t="str">
        <x:v>A: paid interim FY2025</x:v>
      </x:c>
      <x:c r="N12" t="str">
        <x:v>SRC20</x:v>
      </x:c>
      <x:c r="O12"/>
    </x:row>
    <x:row r="13" ht="25" customHeight="1">
      <x:c r="A13" t="str">
        <x:v>D12</x:v>
      </x:c>
      <x:c r="B13" t="str">
        <x:v>First Resources</x:v>
      </x:c>
      <x:c r="C13" t="str">
        <x:v>All shareholders</x:v>
      </x:c>
      <x:c r="D13" t="str">
        <x:v>2026-05-15</x:v>
      </x:c>
      <x:c r="E13" t="n">
        <x:v>2026</x:v>
      </x:c>
      <x:c r="F13"/>
      <x:c r="G13" t="n">
        <x:v>0.102</x:v>
      </x:c>
      <x:c r="H13" t="str">
        <x:v>SGD/share</x:v>
      </x:c>
      <x:c r="I13"/>
      <x:c r="J13" t="str">
        <x:v>SGD</x:v>
      </x:c>
      <x:c r="K13"/>
      <x:c r="L13" t="str">
        <x:v>rate_only</x:v>
      </x:c>
      <x:c r="M13" t="str">
        <x:v>A: paid FY2025 final after AGM</x:v>
      </x:c>
      <x:c r="N13" t="str">
        <x:v>SRC19</x:v>
      </x:c>
      <x:c r="O13"/>
    </x:row>
    <x:row r="14" ht="25" customHeight="1">
      <x:c r="A14" t="str">
        <x:v>D13</x:v>
      </x:c>
      <x:c r="B14" t="str">
        <x:v>Wilmar International</x:v>
      </x:c>
      <x:c r="C14" t="str">
        <x:v>All shareholders</x:v>
      </x:c>
      <x:c r="D14" t="str">
        <x:v>FY2025 declared</x:v>
      </x:c>
      <x:c r="E14" t="n">
        <x:v>2025</x:v>
      </x:c>
      <x:c r="F14"/>
      <x:c r="G14" t="n">
        <x:v>0.14</x:v>
      </x:c>
      <x:c r="H14" t="str">
        <x:v>SGD/share</x:v>
      </x:c>
      <x:c r="I14"/>
      <x:c r="J14" t="str">
        <x:v>SGD</x:v>
      </x:c>
      <x:c r="K14"/>
      <x:c r="L14" t="str">
        <x:v>rate_only</x:v>
      </x:c>
      <x:c r="M14" t="str">
        <x:v>A: FY2025 annual dividend rate, payment calendar not fully checked</x:v>
      </x:c>
      <x:c r="N14" t="str">
        <x:v>SRC13</x:v>
      </x:c>
      <x:c r="O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7" hidden="0" customWidth="1"/>
    <x:col min="4" max="4" width="34" hidden="0" customWidth="1"/>
    <x:col min="5" max="5" width="34" hidden="0" customWidth="1"/>
    <x:col min="6" max="6" width="27" hidden="0" customWidth="1"/>
    <x:col min="7" max="7" width="77" hidden="0" customWidth="1"/>
    <x:col min="8" max="8" width="17" hidden="0" customWidth="1"/>
  </x:cols>
  <x:sheetData>
    <x:row r="1" ht="32" customHeight="1">
      <x:c r="A1" s="5" t="str">
        <x:v>Dari</x:v>
      </x:c>
      <x:c r="B1" s="5" t="str">
        <x:v>Ke</x:v>
      </x:c>
      <x:c r="C1" s="5" t="str">
        <x:v>Relasi</x:v>
      </x:c>
      <x:c r="D1" s="5" t="str">
        <x:v>Domisili entitas asal</x:v>
      </x:c>
      <x:c r="E1" s="5" t="str">
        <x:v>Domisili target</x:v>
      </x:c>
      <x:c r="F1" s="5" t="str">
        <x:v>Persentase/tanggal</x:v>
      </x:c>
      <x:c r="G1" s="5" t="str">
        <x:v>Batasan</x:v>
      </x:c>
      <x:c r="H1" s="5" t="str">
        <x:v>Sumber</x:v>
      </x:c>
    </x:row>
    <x:row r="2" ht="26" customHeight="1">
      <x:c r="A2" s="12" t="str">
        <x:v>Geo Energy Resources</x:v>
      </x:c>
      <x:c r="B2" t="str">
        <x:v>PT Sungai Danau Jaya etc.</x:v>
      </x:c>
      <x:c r="C2" t="str">
        <x:v>operation</x:v>
      </x:c>
      <x:c r="D2" t="str">
        <x:v>Indonesia</x:v>
      </x:c>
      <x:c r="E2" t="str">
        <x:v>Singapore SGX group</x:v>
      </x:c>
      <x:c r="F2" t="str">
        <x:v>n/a</x:v>
      </x:c>
      <x:c r="G2" t="str">
        <x:v>coal mines and logistics in Indonesia</x:v>
      </x:c>
      <x:c r="H2" t="str">
        <x:v>SRC01</x:v>
      </x:c>
    </x:row>
    <x:row r="3" ht="25" customHeight="1">
      <x:c r="A3" t="str">
        <x:v>PT Geo Energy Investama</x:v>
      </x:c>
      <x:c r="B3" t="str">
        <x:v>PT Golden Eagle Energy Tbk</x:v>
      </x:c>
      <x:c r="C3" t="str">
        <x:v>shareholder</x:v>
      </x:c>
      <x:c r="D3" t="str">
        <x:v>Indonesia</x:v>
      </x:c>
      <x:c r="E3" t="str">
        <x:v>Geo Energy group Singapore</x:v>
      </x:c>
      <x:c r="F3" t="str">
        <x:v>73.11% at 2024</x:v>
      </x:c>
      <x:c r="G3" t="str">
        <x:v>Overlapping link to Geo group, don't duplicate coal tonnage without segment reconciliation</x:v>
      </x:c>
      <x:c r="H3" t="str">
        <x:v>SRC01</x:v>
      </x:c>
    </x:row>
    <x:row r="4" ht="25" customHeight="1">
      <x:c r="A4" t="str">
        <x:v>PT Dian Swastatika Sentosa Tbk</x:v>
      </x:c>
      <x:c r="B4" t="str">
        <x:v>PT Golden Energy Mines Tbk</x:v>
      </x:c>
      <x:c r="C4" t="str">
        <x:v>direct share</x:v>
      </x:c>
      <x:c r="D4" t="str">
        <x:v>Indonesia</x:v>
      </x:c>
      <x:c r="E4" t="str">
        <x:v>Indonesia</x:v>
      </x:c>
      <x:c r="F4" t="str">
        <x:v>51.0% FY2025</x:v>
      </x:c>
      <x:c r="G4" t="str">
        <x:v>Indonesian majority GEMS</x:v>
      </x:c>
      <x:c r="H4" t="str">
        <x:v>SRC02</x:v>
      </x:c>
    </x:row>
    <x:row r="5" ht="25" customHeight="1">
      <x:c r="A5" t="str">
        <x:v>Golden Energy and Resources Ltd</x:v>
      </x:c>
      <x:c r="B5" t="str">
        <x:v>PT Golden Energy Mines Tbk</x:v>
      </x:c>
      <x:c r="C5" t="str">
        <x:v>direct share</x:v>
      </x:c>
      <x:c r="D5" t="str">
        <x:v>Singapore</x:v>
      </x:c>
      <x:c r="E5" t="str">
        <x:v>Indonesia</x:v>
      </x:c>
      <x:c r="F5" t="str">
        <x:v>~7.0% FY2025</x:v>
      </x:c>
      <x:c r="G5" t="str">
        <x:v>GEAR delisted SGX in 2023; not all of GEMS ownership resides in SG</x:v>
      </x:c>
      <x:c r="H5" t="str">
        <x:v>SRC02|SRC06</x:v>
      </x:c>
    </x:row>
    <x:row r="6" ht="25" customHeight="1">
      <x:c r="A6" t="str">
        <x:v>Wellpoint Pacific Holdings</x:v>
      </x:c>
      <x:c r="B6" t="str">
        <x:v>Bumitama Agri Ltd</x:v>
      </x:c>
      <x:c r="C6" t="str">
        <x:v>deemed family ownership</x:v>
      </x:c>
      <x:c r="D6" t="str">
        <x:v>Offshore</x:v>
      </x:c>
      <x:c r="E6" t="str">
        <x:v>Singapore SGX parent</x:v>
      </x:c>
      <x:c r="F6" t="str">
        <x:v>52.277% 2026</x:v>
      </x:c>
      <x:c r="G6" t="str">
        <x:v>Hariyanto family deemed interest; offshore vehicle not proof of SG resident investor</x:v>
      </x:c>
      <x:c r="H6" t="str">
        <x:v>SRC07</x:v>
      </x:c>
    </x:row>
    <x:row r="7" ht="25" customHeight="1">
      <x:c r="A7" t="str">
        <x:v>IOI Corporation Berhad via Oakridge</x:v>
      </x:c>
      <x:c r="B7" t="str">
        <x:v>Bumitama Agri Ltd</x:v>
      </x:c>
      <x:c r="C7" t="str">
        <x:v>deemed ownership</x:v>
      </x:c>
      <x:c r="D7" t="str">
        <x:v>Malaysia</x:v>
      </x:c>
      <x:c r="E7" t="str">
        <x:v>Singapore SGX parent</x:v>
      </x:c>
      <x:c r="F7" t="str">
        <x:v>~32.10% 2026</x:v>
      </x:c>
      <x:c r="G7" t="str">
        <x:v>Malaysia IOI shareholder interest; different from SG resident benefit</x:v>
      </x:c>
      <x:c r="H7" t="str">
        <x:v>SRC07</x:v>
      </x:c>
    </x:row>
    <x:row r="8" ht="25" customHeight="1">
      <x:c r="A8" t="str">
        <x:v>Widjaja Family Master Trust</x:v>
      </x:c>
      <x:c r="B8" t="str">
        <x:v>Golden Agri-Resources Ltd</x:v>
      </x:c>
      <x:c r="C8" t="str">
        <x:v>beneficial/deemed interest</x:v>
      </x:c>
      <x:c r="D8" t="str">
        <x:v>Trust nationality/residence unverified</x:v>
      </x:c>
      <x:c r="E8" t="str">
        <x:v>SGX</x:v>
      </x:c>
      <x:c r="F8" t="str">
        <x:v>50.56% Mar2026</x:v>
      </x:c>
      <x:c r="G8" t="str">
        <x:v>Ownership via Flambo and subsidiaries, not Singapore state</x:v>
      </x:c>
      <x:c r="H8" t="str">
        <x:v>SRC12</x:v>
      </x:c>
    </x:row>
    <x:row r="9" ht="25" customHeight="1">
      <x:c r="A9" t="str">
        <x:v>Kuok Group</x:v>
      </x:c>
      <x:c r="B9" t="str">
        <x:v>Wilmar International</x:v>
      </x:c>
      <x:c r="C9" t="str">
        <x:v>group interests aggregated</x:v>
      </x:c>
      <x:c r="D9" t="str">
        <x:v>Multiple</x:v>
      </x:c>
      <x:c r="E9" t="str">
        <x:v>Singapore</x:v>
      </x:c>
      <x:c r="F9" t="str">
        <x:v>34.15% Sep2026 factsheet</x:v>
      </x:c>
      <x:c r="G9" t="str">
        <x:v>Aggregate from Wilmar issuer; don't add component holdings twice</x:v>
      </x:c>
      <x:c r="H9" t="str">
        <x:v>SRC15</x:v>
      </x:c>
    </x:row>
    <x:row r="10" ht="25" customHeight="1">
      <x:c r="A10" t="str">
        <x:v>ADM group</x:v>
      </x:c>
      <x:c r="B10" t="str">
        <x:v>Wilmar International</x:v>
      </x:c>
      <x:c r="C10" t="str">
        <x:v>group interest</x:v>
      </x:c>
      <x:c r="D10" t="str">
        <x:v>United States parent via SG vehicle</x:v>
      </x:c>
      <x:c r="E10" t="str">
        <x:v>Singapore</x:v>
      </x:c>
      <x:c r="F10" t="str">
        <x:v>22.49% Mar2026</x:v>
      </x:c>
      <x:c r="G10" t="str">
        <x:v>Singapore share custody != resident benefit</x:v>
      </x:c>
      <x:c r="H10" t="str">
        <x:v>SRC15</x:v>
      </x:c>
    </x:row>
    <x:row r="11" ht="25" customHeight="1">
      <x:c r="A11" t="str">
        <x:v>Eight Capital Inc.</x:v>
      </x:c>
      <x:c r="B11" t="str">
        <x:v>First Resources Limited</x:v>
      </x:c>
      <x:c r="C11" t="str">
        <x:v>direct substantial shareholding</x:v>
      </x:c>
      <x:c r="D11" t="str">
        <x:v>Shareholder legal domicile unverified</x:v>
      </x:c>
      <x:c r="E11" t="str">
        <x:v>Singapore</x:v>
      </x:c>
      <x:c r="F11" t="str">
        <x:v>67.5% Mar2026</x:v>
      </x:c>
      <x:c r="G11" t="str">
        <x:v>Trust beneficial allocations not fixed; no residency inference</x:v>
      </x:c>
      <x:c r="H11" t="str">
        <x:v>SRC18|SRC27</x:v>
      </x:c>
    </x:row>
    <x:row r="12" ht="25" customHeight="1">
      <x:c r="A12" t="str">
        <x:v>First Resources Limited</x:v>
      </x:c>
      <x:c r="B12" t="str">
        <x:v>PT Austindo Nusantara Jaya Tbk</x:v>
      </x:c>
      <x:c r="C12" t="str">
        <x:v>direct control</x:v>
      </x:c>
      <x:c r="D12" t="str">
        <x:v>Singapore</x:v>
      </x:c>
      <x:c r="E12" t="str">
        <x:v>Indonesia</x:v>
      </x:c>
      <x:c r="F12" t="str">
        <x:v>95.92% Mar2026</x:v>
      </x:c>
      <x:c r="G12" t="str">
        <x:v>Acquired May2025, historical 2024 figures not comparable due acquisition</x:v>
      </x:c>
      <x:c r="H12" t="str">
        <x:v>SRC27</x:v>
      </x:c>
    </x:row>
    <x:row r="13" ht="25" customHeight="1">
      <x:c r="A13" t="str">
        <x:v>Jardine Cycle &amp; Carriage Limited</x:v>
      </x:c>
      <x:c r="B13" t="str">
        <x:v>PT Astra International Tbk</x:v>
      </x:c>
      <x:c r="C13" t="str">
        <x:v>direct control</x:v>
      </x:c>
      <x:c r="D13" t="str">
        <x:v>Singapore</x:v>
      </x:c>
      <x:c r="E13" t="str">
        <x:v>Indonesia</x:v>
      </x:c>
      <x:c r="F13" t="str">
        <x:v>50.11% Dec2025</x:v>
      </x:c>
      <x:c r="G13" t="str">
        <x:v>Astra multi-sector, not all coal</x:v>
      </x:c>
      <x:c r="H13" t="str">
        <x:v>SRC21</x:v>
      </x:c>
    </x:row>
    <x:row r="14" ht="25" customHeight="1">
      <x:c r="A14" t="str">
        <x:v>Jardine Matheson Holdings</x:v>
      </x:c>
      <x:c r="B14" t="str">
        <x:v>Jardine Cycle &amp; Carriage Limited</x:v>
      </x:c>
      <x:c r="C14" t="str">
        <x:v>controlling interest</x:v>
      </x:c>
      <x:c r="D14" t="str">
        <x:v>Parent Bermuda/HK</x:v>
      </x:c>
      <x:c r="E14" t="str">
        <x:v>Singapore</x:v>
      </x:c>
      <x:c r="F14" t="str">
        <x:v>~85% FY2025</x:v>
      </x:c>
      <x:c r="G14" t="str">
        <x:v>Singapore legal ownership not Singapore citizen ultimate owner</x:v>
      </x:c>
      <x:c r="H14" t="str">
        <x:v>SRC24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6" hidden="0" customWidth="1"/>
    <x:col min="3" max="3" width="34" hidden="0" customWidth="1"/>
    <x:col min="4" max="4" width="59" hidden="0" customWidth="1"/>
    <x:col min="5" max="5" width="21" hidden="0" customWidth="1"/>
    <x:col min="6" max="6" width="12" hidden="0" customWidth="1"/>
  </x:cols>
  <x:sheetData>
    <x:row r="1" ht="32" customHeight="1">
      <x:c r="A1" s="5" t="str">
        <x:v>Entitas</x:v>
      </x:c>
      <x:c r="B1" s="5" t="str">
        <x:v>Yurisdiksi</x:v>
      </x:c>
      <x:c r="C1" s="5" t="str">
        <x:v>Jenis notice</x:v>
      </x:c>
      <x:c r="D1" s="5" t="str">
        <x:v>Status hukum</x:v>
      </x:c>
      <x:c r="E1" s="5" t="str">
        <x:v>Tanggal</x:v>
      </x:c>
      <x:c r="F1" s="5" t="str">
        <x:v>Sumber</x:v>
      </x:c>
    </x:row>
    <x:row r="2" ht="26" customHeight="1">
      <x:c r="A2" s="12" t="str">
        <x:v>Asia Pulp &amp; Paper Company Limited</x:v>
      </x:c>
      <x:c r="B2" t="str">
        <x:v>Singapore</x:v>
      </x:c>
      <x:c r="C2" t="str">
        <x:v>Section 10 / documents</x:v>
      </x:c>
      <x:c r="D2" t="str">
        <x:v>Request for information; not finding of guilt</x:v>
      </x:c>
      <x:c r="E2" t="str">
        <x:v>2026-10-23</x:v>
      </x:c>
      <x:c r="F2" t="str">
        <x:v>SRC25</x:v>
      </x:c>
    </x:row>
    <x:row r="3" ht="25" customHeight="1">
      <x:c r="A3" t="str">
        <x:v>Asia Pulp &amp; Paper Company (China) Limited</x:v>
      </x:c>
      <x:c r="B3" t="str">
        <x:v>Singapore</x:v>
      </x:c>
      <x:c r="C3" t="str">
        <x:v>Section 10 / documents</x:v>
      </x:c>
      <x:c r="D3" t="str">
        <x:v>Request for information; not finding of guilt</x:v>
      </x:c>
      <x:c r="E3" t="str">
        <x:v>2026-10-23</x:v>
      </x:c>
      <x:c r="F3" t="str">
        <x:v>SRC25</x:v>
      </x:c>
    </x:row>
    <x:row r="4" ht="25" customHeight="1">
      <x:c r="A4" t="str">
        <x:v>Bumitama Agri Ltd</x:v>
      </x:c>
      <x:c r="B4" t="str">
        <x:v>Singapore</x:v>
      </x:c>
      <x:c r="C4" t="str">
        <x:v>Section 10 / documents</x:v>
      </x:c>
      <x:c r="D4" t="str">
        <x:v>Request for information; not finding of guilt</x:v>
      </x:c>
      <x:c r="E4" t="str">
        <x:v>2026-10-23</x:v>
      </x:c>
      <x:c r="F4" t="str">
        <x:v>SRC25</x:v>
      </x:c>
    </x:row>
    <x:row r="5" ht="25" customHeight="1">
      <x:c r="A5" t="str">
        <x:v>Golden Agri International Pte Ltd</x:v>
      </x:c>
      <x:c r="B5" t="str">
        <x:v>Singapore</x:v>
      </x:c>
      <x:c r="C5" t="str">
        <x:v>Section 10 / documents</x:v>
      </x:c>
      <x:c r="D5" t="str">
        <x:v>Request for information; not finding of guilt</x:v>
      </x:c>
      <x:c r="E5" t="str">
        <x:v>2026-10-23</x:v>
      </x:c>
      <x:c r="F5" t="str">
        <x:v>SRC25</x:v>
      </x:c>
    </x:row>
    <x:row r="6" ht="25" customHeight="1">
      <x:c r="A6" t="str">
        <x:v>First Resources Ltd</x:v>
      </x:c>
      <x:c r="B6" t="str">
        <x:v>Singapore</x:v>
      </x:c>
      <x:c r="C6" t="str">
        <x:v>Section 10 / documents</x:v>
      </x:c>
      <x:c r="D6" t="str">
        <x:v>Request for information; not finding of guilt</x:v>
      </x:c>
      <x:c r="E6" t="str">
        <x:v>2026-10-23</x:v>
      </x:c>
      <x:c r="F6" t="str">
        <x:v>SRC25</x:v>
      </x:c>
    </x:row>
    <x:row r="7" ht="25" customHeight="1">
      <x:c r="A7" t="str">
        <x:v>Indofood Agri Resources Ltd</x:v>
      </x:c>
      <x:c r="B7" t="str">
        <x:v>Singapore</x:v>
      </x:c>
      <x:c r="C7" t="str">
        <x:v>Section 10 / documents</x:v>
      </x:c>
      <x:c r="D7" t="str">
        <x:v>Request for information; not finding of guilt</x:v>
      </x:c>
      <x:c r="E7" t="str">
        <x:v>2026-10-23</x:v>
      </x:c>
      <x:c r="F7" t="str">
        <x:v>SRC25</x:v>
      </x:c>
    </x:row>
    <x:row r="8" ht="25" customHeight="1">
      <x:c r="A8" t="str">
        <x:v>Kencana Agri Ltd</x:v>
      </x:c>
      <x:c r="B8" t="str">
        <x:v>Singapore</x:v>
      </x:c>
      <x:c r="C8" t="str">
        <x:v>Section 10 / documents</x:v>
      </x:c>
      <x:c r="D8" t="str">
        <x:v>Request for information; not finding of guilt</x:v>
      </x:c>
      <x:c r="E8" t="str">
        <x:v>2026-10-23</x:v>
      </x:c>
      <x:c r="F8" t="str">
        <x:v>SRC25</x:v>
      </x:c>
    </x:row>
    <x:row r="9" ht="25" customHeight="1">
      <x:c r="A9" t="str">
        <x:v>TSH Global Plantation Pte Ltd</x:v>
      </x:c>
      <x:c r="B9" t="str">
        <x:v>Singapore</x:v>
      </x:c>
      <x:c r="C9" t="str">
        <x:v>Section 10 / documents</x:v>
      </x:c>
      <x:c r="D9" t="str">
        <x:v>Request for information; not finding of guilt</x:v>
      </x:c>
      <x:c r="E9" t="str">
        <x:v>2026-10-23</x:v>
      </x:c>
      <x:c r="F9" t="str">
        <x:v>SRC25</x:v>
      </x:c>
    </x:row>
    <x:row r="10" ht="25" customHeight="1">
      <x:c r="A10" t="str">
        <x:v>TSH Oversea Pte Ltd</x:v>
      </x:c>
      <x:c r="B10" t="str">
        <x:v>Singapore</x:v>
      </x:c>
      <x:c r="C10" t="str">
        <x:v>Section 10 / documents</x:v>
      </x:c>
      <x:c r="D10" t="str">
        <x:v>Request for information; not finding of guilt</x:v>
      </x:c>
      <x:c r="E10" t="str">
        <x:v>2026-10-23</x:v>
      </x:c>
      <x:c r="F10" t="str">
        <x:v>SRC25</x:v>
      </x:c>
    </x:row>
    <x:row r="11" ht="25" customHeight="1">
      <x:c r="A11" t="str">
        <x:v>Wilmar International Ltd</x:v>
      </x:c>
      <x:c r="B11" t="str">
        <x:v>Singapore</x:v>
      </x:c>
      <x:c r="C11" t="str">
        <x:v>Section 10 / documents</x:v>
      </x:c>
      <x:c r="D11" t="str">
        <x:v>Request for information; not finding of guilt</x:v>
      </x:c>
      <x:c r="E11" t="str">
        <x:v>2026-10-23</x:v>
      </x:c>
      <x:c r="F11" t="str">
        <x:v>SRC25</x:v>
      </x:c>
    </x:row>
    <x:row r="12" ht="25" customHeight="1">
      <x:c r="A12" t="str">
        <x:v>PT Bumi Andalas Permai</x:v>
      </x:c>
      <x:c r="B12" t="str">
        <x:v>Indonesia</x:v>
      </x:c>
      <x:c r="C12" t="str">
        <x:v>Section 9 preventive measures notice</x:v>
      </x:c>
      <x:c r="D12" t="str">
        <x:v>Does not establish deliberate burning or legal liability</x:v>
      </x:c>
      <x:c r="E12" t="str">
        <x:v>2026-10-16/19</x:v>
      </x:c>
      <x:c r="F12" t="str">
        <x:v>SRC25</x:v>
      </x:c>
    </x:row>
    <x:row r="13" ht="25" customHeight="1">
      <x:c r="A13" t="str">
        <x:v>PT Bumi Mekar Hijau</x:v>
      </x:c>
      <x:c r="B13" t="str">
        <x:v>Indonesia</x:v>
      </x:c>
      <x:c r="C13" t="str">
        <x:v>Section 9 preventive measures notice</x:v>
      </x:c>
      <x:c r="D13" t="str">
        <x:v>Does not establish deliberate burning or legal liability</x:v>
      </x:c>
      <x:c r="E13" t="str">
        <x:v>2026-10-16/19</x:v>
      </x:c>
      <x:c r="F13" t="str">
        <x:v>SRC25</x:v>
      </x:c>
    </x:row>
    <x:row r="14" ht="25" customHeight="1">
      <x:c r="A14" t="str">
        <x:v>PT SBA Wood Industries</x:v>
      </x:c>
      <x:c r="B14" t="str">
        <x:v>Indonesia</x:v>
      </x:c>
      <x:c r="C14" t="str">
        <x:v>Section 9 preventive measures notice</x:v>
      </x:c>
      <x:c r="D14" t="str">
        <x:v>Does not establish deliberate burning or legal liability</x:v>
      </x:c>
      <x:c r="E14" t="str">
        <x:v>2026-10-16/19</x:v>
      </x:c>
      <x:c r="F14" t="str">
        <x:v>SRC25</x:v>
      </x:c>
    </x:row>
    <x:row r="15" ht="25" customHeight="1">
      <x:c r="A15" t="str">
        <x:v>PT Paramitra Mulia Langgeng</x:v>
      </x:c>
      <x:c r="B15" t="str">
        <x:v>Indonesia</x:v>
      </x:c>
      <x:c r="C15" t="str">
        <x:v>Section 9 preventive measures notice</x:v>
      </x:c>
      <x:c r="D15" t="str">
        <x:v>Does not establish deliberate burning or legal liability</x:v>
      </x:c>
      <x:c r="E15" t="str">
        <x:v>2026-10-16/19</x:v>
      </x:c>
      <x:c r="F15" t="str">
        <x:v>SRC25</x:v>
      </x:c>
    </x:row>
    <x:row r="16" ht="25" customHeight="1">
      <x:c r="A16" t="str">
        <x:v>PT Sumatera Alam Anugerah</x:v>
      </x:c>
      <x:c r="B16" t="str">
        <x:v>Indonesia</x:v>
      </x:c>
      <x:c r="C16" t="str">
        <x:v>Section 9 preventive measures notice</x:v>
      </x:c>
      <x:c r="D16" t="str">
        <x:v>Does not establish deliberate burning or legal liability</x:v>
      </x:c>
      <x:c r="E16" t="str">
        <x:v>2026-10-16/19</x:v>
      </x:c>
      <x:c r="F16" t="str">
        <x:v>SRC25</x:v>
      </x:c>
    </x:row>
    <x:row r="17" ht="25" customHeight="1">
      <x:c r="A17" t="str">
        <x:v>PT Hutan Lestari Raya</x:v>
      </x:c>
      <x:c r="B17" t="str">
        <x:v>Indonesia</x:v>
      </x:c>
      <x:c r="C17" t="str">
        <x:v>Section 9 preventive measures notice</x:v>
      </x:c>
      <x:c r="D17" t="str">
        <x:v>Does not establish deliberate burning or legal liability</x:v>
      </x:c>
      <x:c r="E17" t="str">
        <x:v>2026-10-16/19</x:v>
      </x:c>
      <x:c r="F17" t="str">
        <x:v>SRC25</x:v>
      </x:c>
    </x:row>
    <x:row r="18" ht="25" customHeight="1">
      <x:c r="A18" t="str">
        <x:v>PT Bangkanesia</x:v>
      </x:c>
      <x:c r="B18" t="str">
        <x:v>Indonesia</x:v>
      </x:c>
      <x:c r="C18" t="str">
        <x:v>Section 9 preventive measures notice</x:v>
      </x:c>
      <x:c r="D18" t="str">
        <x:v>Does not establish deliberate burning or legal liability</x:v>
      </x:c>
      <x:c r="E18" t="str">
        <x:v>2026-10-16/19</x:v>
      </x:c>
      <x:c r="F18" t="str">
        <x:v>SRC25</x:v>
      </x:c>
    </x:row>
    <x:row r="19" ht="25" customHeight="1">
      <x:c r="A19" t="str">
        <x:v>PT Buana Megatama Jaya</x:v>
      </x:c>
      <x:c r="B19" t="str">
        <x:v>Indonesia</x:v>
      </x:c>
      <x:c r="C19" t="str">
        <x:v>Section 9 preventive measures notice</x:v>
      </x:c>
      <x:c r="D19" t="str">
        <x:v>Does not establish deliberate burning or legal liability</x:v>
      </x:c>
      <x:c r="E19" t="str">
        <x:v>2026-10-16/19</x:v>
      </x:c>
      <x:c r="F19" t="str">
        <x:v>SRC25</x:v>
      </x:c>
    </x:row>
    <x:row r="20" ht="25" customHeight="1">
      <x:c r="A20" t="str">
        <x:v>PT Mananjung Hayak</x:v>
      </x:c>
      <x:c r="B20" t="str">
        <x:v>Indonesia</x:v>
      </x:c>
      <x:c r="C20" t="str">
        <x:v>Section 9 preventive measures notice</x:v>
      </x:c>
      <x:c r="D20" t="str">
        <x:v>Does not establish deliberate burning or legal liability</x:v>
      </x:c>
      <x:c r="E20" t="str">
        <x:v>2026-10-16/19</x:v>
      </x:c>
      <x:c r="F20" t="str">
        <x:v>SRC25</x:v>
      </x:c>
    </x:row>
    <x:row r="21" ht="25" customHeight="1">
      <x:c r="A21" t="str">
        <x:v>PT Baratama Putra Perkasa</x:v>
      </x:c>
      <x:c r="B21" t="str">
        <x:v>Indonesia</x:v>
      </x:c>
      <x:c r="C21" t="str">
        <x:v>Section 9 preventive measures notice</x:v>
      </x:c>
      <x:c r="D21" t="str">
        <x:v>Does not establish deliberate burning or legal liability</x:v>
      </x:c>
      <x:c r="E21" t="str">
        <x:v>2026-10-16/19</x:v>
      </x:c>
      <x:c r="F21" t="str">
        <x:v>SRC25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72" hidden="0" customWidth="1"/>
    <x:col min="4" max="4" width="32" hidden="0" customWidth="1"/>
    <x:col min="5" max="5" width="64" hidden="0" customWidth="1"/>
    <x:col min="6" max="6" width="13" hidden="0" customWidth="1"/>
  </x:cols>
  <x:sheetData>
    <x:row r="1" ht="32" customHeight="1">
      <x:c r="A1" s="5" t="str">
        <x:v>Prioritas</x:v>
      </x:c>
      <x:c r="B1" s="5" t="str">
        <x:v>Pertanyaan</x:v>
      </x:c>
      <x:c r="C1" s="5" t="str">
        <x:v>Data diperlukan</x:v>
      </x:c>
      <x:c r="D1" s="5" t="str">
        <x:v>Tujuan</x:v>
      </x:c>
      <x:c r="E1" s="5" t="str">
        <x:v>Batasan saat ini</x:v>
      </x:c>
      <x:c r="F1" s="5" t="str">
        <x:v>Status</x:v>
      </x:c>
    </x:row>
    <x:row r="2" ht="26" customHeight="1">
      <x:c r="A2" s="12" t="str">
        <x:v>P1</x:v>
      </x:c>
      <x:c r="B2" t="str">
        <x:v>Indonesia→Singapore cash dividends</x:v>
      </x:c>
      <x:c r="C2" t="str">
        <x:v>Obtain parent-only accounts and Indonesian subsidiary dividend declarations, bank settlement when public, record-date shares</x:v>
      </x:c>
      <x:c r="D2" t="str">
        <x:v>For each group 2015–2025</x:v>
      </x:c>
      <x:c r="E2" t="str">
        <x:v>no consolidated cash dividend sub-to-parent public ledger</x:v>
      </x:c>
      <x:c r="F2" t="str">
        <x:v>B: potentially through filings</x:v>
      </x:c>
    </x:row>
    <x:row r="3" ht="25" customHeight="1">
      <x:c r="A3" t="str">
        <x:v>P1</x:v>
      </x:c>
      <x:c r="B3" t="str">
        <x:v>Astra recording-date exact shares</x:v>
      </x:c>
      <x:c r="C3" t="str">
        <x:v>Verify JCC held 20,288,255,040 shares at 22 May and October 2025 recording dates</x:v>
      </x:c>
      <x:c r="D3" t="str">
        <x:v>Astra/BAE/KSEI</x:v>
      </x:c>
      <x:c r="E3" t="str">
        <x:v>gross Rp8.237T estimate</x:v>
      </x:c>
      <x:c r="F3" t="str">
        <x:v>B</x:v>
      </x:c>
    </x:row>
    <x:row r="4" ht="25" customHeight="1">
      <x:c r="A4" t="str">
        <x:v>P1</x:v>
      </x:c>
      <x:c r="B4" t="str">
        <x:v>GEMS GEAR record-date ownership</x:v>
      </x:c>
      <x:c r="C4" t="str">
        <x:v>Verify GEAR % at 2025 Jun5 and Jun24 date, direct shareholder registers</x:v>
      </x:c>
      <x:c r="D4" t="str">
        <x:v>GEMS/KSEI</x:v>
      </x:c>
      <x:c r="E4" t="str">
        <x:v>~US$14.7m estimate provisional</x:v>
      </x:c>
      <x:c r="F4" t="str">
        <x:v>C</x:v>
      </x:c>
    </x:row>
    <x:row r="5" ht="25" customHeight="1">
      <x:c r="A5" t="str">
        <x:v>P1</x:v>
      </x:c>
      <x:c r="B5" t="str">
        <x:v>Ultimate economic owners</x:v>
      </x:c>
      <x:c r="C5" t="str">
        <x:v>Separate SG incorporation, custodians, fund residence and nationality</x:v>
      </x:c>
      <x:c r="D5" t="str">
        <x:v>7 groups</x:v>
      </x:c>
      <x:c r="E5" t="str">
        <x:v>unknown share of benefit going to Singapore residents</x:v>
      </x:c>
      <x:c r="F5" t="str">
        <x:v>C</x:v>
      </x:c>
    </x:row>
    <x:row r="6" ht="25" customHeight="1">
      <x:c r="A6" t="str">
        <x:v>P1</x:v>
      </x:c>
      <x:c r="B6" t="str">
        <x:v>Geographic and supply-chain allocation</x:v>
      </x:c>
      <x:c r="C6" t="str">
        <x:v>Indonesian production value vs global revenue, intercompany trading arms, double counting</x:v>
      </x:c>
      <x:c r="D6" t="str">
        <x:v>Wilmar/GAR/First</x:v>
      </x:c>
      <x:c r="E6" t="str">
        <x:v>global group revenues misleading for extraction</x:v>
      </x:c>
      <x:c r="F6" t="str">
        <x:v>C</x:v>
      </x:c>
    </x:row>
    <x:row r="7" ht="25" customHeight="1">
      <x:c r="A7" t="str">
        <x:v>P1</x:v>
      </x:c>
      <x:c r="B7" t="str">
        <x:v>NEA notices response and outcome</x:v>
      </x:c>
      <x:c r="C7" t="str">
        <x:v>Track Section 10 responses, concessions and whether responsibility is established</x:v>
      </x:c>
      <x:c r="D7" t="str">
        <x:v>NEA/SGX/Indonesia</x:v>
      </x:c>
      <x:c r="E7" t="str">
        <x:v>as of 24 Oct information requests only</x:v>
      </x:c>
      <x:c r="F7" t="str">
        <x:v>A for notices</x:v>
      </x:c>
    </x:row>
    <x:row r="8" ht="25" customHeight="1">
      <x:c r="A8" t="str">
        <x:v>P2</x:v>
      </x:c>
      <x:c r="B8" t="str">
        <x:v>Sustainable payments</x:v>
      </x:c>
      <x:c r="C8" t="str">
        <x:v>Corporate taxes, royalties, wages, PPM, local procurement and ecosystem damage/rehabilitation 2015-25</x:v>
      </x:c>
      <x:c r="D8" t="str">
        <x:v>per subsidiary</x:v>
      </x:c>
      <x:c r="E8" t="str">
        <x:v>net resource benefit balance</x:v>
      </x:c>
      <x:c r="F8" t="str">
        <x:v>C</x:v>
      </x:c>
    </x:row>
    <x:row r="9" ht="25" customHeight="1">
      <x:c r="A9" t="str">
        <x:v>P2</x:v>
      </x:c>
      <x:c r="B9" t="str">
        <x:v>Longitudinal ownership</x:v>
      </x:c>
      <x:c r="C9" t="str">
        <x:v>2015–2025 shareholdings and corporate actions especially GEAR delisting and GEMS in-specie</x:v>
      </x:c>
      <x:c r="D9" t="str">
        <x:v>SGX, IDX, ARs</x:v>
      </x:c>
      <x:c r="E9" t="str">
        <x:v>break in GEAR exposure around 2023</x:v>
      </x:c>
      <x:c r="F9" t="str">
        <x:v>A event, unquantified</x:v>
      </x:c>
    </x:row>
    <x:row r="10" ht="25" customHeight="1">
      <x:c r="A10" t="str">
        <x:v>P2</x:v>
      </x:c>
      <x:c r="B10" t="str">
        <x:v>Dividend year classification</x:v>
      </x:c>
      <x:c r="C10" t="str">
        <x:v>Separate fiscal-year declared vs calendar-year cash paid; proposed vs actual</x:v>
      </x:c>
      <x:c r="D10" t="str">
        <x:v>all SGX listed groups</x:v>
      </x:c>
      <x:c r="E10" t="str">
        <x:v>cash vs approval confusion</x:v>
      </x:c>
      <x:c r="F10" t="str">
        <x:v>B</x:v>
      </x:c>
    </x:row>
    <x:row r="11" ht="25" customHeight="1">
      <x:c r="A11" t="str">
        <x:v>P2</x:v>
      </x:c>
      <x:c r="B11" t="str">
        <x:v>Intercompany trading margins</x:v>
      </x:c>
      <x:c r="C11" t="str">
        <x:v>Related-party commodity sales, Singapore trading hub functions, transfer pricing disclosure</x:v>
      </x:c>
      <x:c r="D11" t="str">
        <x:v>Wilmar/GAR/First</x:v>
      </x:c>
      <x:c r="E11" t="str">
        <x:v>value capture by merchants and logistics unknown</x:v>
      </x:c>
      <x:c r="F11" t="str">
        <x:v>C</x:v>
      </x:c>
    </x:row>
    <x:row r="12" ht="25" customHeight="1">
      <x:c r="A12" t="str">
        <x:v>P2</x:v>
      </x:c>
      <x:c r="B12" t="str">
        <x:v>Land and provincial allocation</x:v>
      </x:c>
      <x:c r="C12" t="str">
        <x:v>Maps of oil-palm estates and coal concessions; separate Kalimantan from Sumatra</x:v>
      </x:c>
      <x:c r="D12" t="str">
        <x:v>all groups</x:v>
      </x:c>
      <x:c r="E12" t="str">
        <x:v>avoid imputing all production to Kalimantan</x:v>
      </x:c>
      <x:c r="F12" t="str">
        <x:v>B</x:v>
      </x:c>
    </x:row>
    <x:row r="13" ht="25" customHeight="1">
      <x:c r="A13" t="str">
        <x:v>P2</x:v>
      </x:c>
      <x:c r="B13" t="str">
        <x:v>Cross-check NEA entity matching</x:v>
      </x:c>
      <x:c r="C13" t="str">
        <x:v>Golden Agri International Pte Ltd vs Golden Agri-Resources Ltd; legal control before comparison</x:v>
      </x:c>
      <x:c r="D13" t="str">
        <x:v>ACRA/SGX</x:v>
      </x:c>
      <x:c r="E13" t="str">
        <x:v>different named legal persons</x:v>
      </x:c>
      <x:c r="F13" t="str">
        <x:v>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3" hidden="0" customWidth="1"/>
    <x:col min="3" max="3" width="25" hidden="0" customWidth="1"/>
    <x:col min="4" max="4" width="20" hidden="0" customWidth="1"/>
    <x:col min="5" max="5" width="81" hidden="0" customWidth="1"/>
    <x:col min="6" max="6" width="65" hidden="0" customWidth="1"/>
  </x:cols>
  <x:sheetData>
    <x:row r="1" ht="32" customHeight="1">
      <x:c r="A1" s="5" t="str">
        <x:v>ID</x:v>
      </x:c>
      <x:c r="B1" s="5" t="str">
        <x:v>Dokumen</x:v>
      </x:c>
      <x:c r="C1" s="5" t="str">
        <x:v>Jenis penerbit</x:v>
      </x:c>
      <x:c r="D1" s="5" t="str">
        <x:v>Tanggal</x:v>
      </x:c>
      <x:c r="E1" s="5" t="str">
        <x:v>URL</x:v>
      </x:c>
      <x:c r="F1" s="5" t="str">
        <x:v>Data</x:v>
      </x:c>
    </x:row>
    <x:row r="2" ht="26" customHeight="1">
      <x:c r="A2" s="12" t="str">
        <x:v>SRC01</x:v>
      </x:c>
      <x:c r="B2" t="str">
        <x:v>Geo Energy 2025 annual report</x:v>
      </x:c>
      <x:c r="C2" t="str">
        <x:v>Issuer SGX</x:v>
      </x:c>
      <x:c r="D2" t="str">
        <x:v>2026-04-13</x:v>
      </x:c>
      <x:c r="E2" t="str">
        <x:v>https://links.sgx.com/FileOpen/Annual%20Report%202025.ashx?App=Announcement&amp;FileID=883319</x:v>
      </x:c>
      <x:c r="F2" t="str">
        <x:v>production, sales, revenues, 2025 dividends and ownership</x:v>
      </x:c>
    </x:row>
    <x:row r="3" ht="25" customHeight="1">
      <x:c r="A3" t="str">
        <x:v>SRC02</x:v>
      </x:c>
      <x:c r="B3" t="str">
        <x:v>GEMS 2025 sustainability report</x:v>
      </x:c>
      <x:c r="C3" t="str">
        <x:v>Issuer GEMS</x:v>
      </x:c>
      <x:c r="D3" t="str">
        <x:v>2026</x:v>
      </x:c>
      <x:c r="E3" t="str">
        <x:v>https://esgdigital.goldenenergymines.com/</x:v>
      </x:c>
      <x:c r="F3" t="str">
        <x:v>2025 production, owners incl GEAR</x:v>
      </x:c>
    </x:row>
    <x:row r="4" ht="25" customHeight="1">
      <x:c r="A4" t="str">
        <x:v>SRC03</x:v>
      </x:c>
      <x:c r="B4" t="str">
        <x:v>GEMS investor overview 2025</x:v>
      </x:c>
      <x:c r="C4" t="str">
        <x:v>Issuer GEMS</x:v>
      </x:c>
      <x:c r="D4" t="str">
        <x:v>2026</x:v>
      </x:c>
      <x:c r="E4" t="str">
        <x:v>https://www.goldenenergymines.com/</x:v>
      </x:c>
      <x:c r="F4" t="str">
        <x:v>2025 coal production, revenue and reported profit</x:v>
      </x:c>
    </x:row>
    <x:row r="5" ht="25" customHeight="1">
      <x:c r="A5" t="str">
        <x:v>SRC04</x:v>
      </x:c>
      <x:c r="B5" t="str">
        <x:v>GEMS KSEI corporate actions</x:v>
      </x:c>
      <x:c r="C5" t="str">
        <x:v>Depository KSEI</x:v>
      </x:c>
      <x:c r="D5" t="str">
        <x:v>2026-10-24</x:v>
      </x:c>
      <x:c r="E5" t="str">
        <x:v>https://web.ksei.co.id/services/registered-securities/shares/lc/GEMS</x:v>
      </x:c>
      <x:c r="F5" t="str">
        <x:v>payment and record dates in Rupiah</x:v>
      </x:c>
    </x:row>
    <x:row r="6" ht="25" customHeight="1">
      <x:c r="A6" t="str">
        <x:v>SRC05</x:v>
      </x:c>
      <x:c r="B6" t="str">
        <x:v>GEMS dividend information</x:v>
      </x:c>
      <x:c r="C6" t="str">
        <x:v>Issuer GEMS</x:v>
      </x:c>
      <x:c r="D6" t="str">
        <x:v>2026</x:v>
      </x:c>
      <x:c r="E6" t="str">
        <x:v>https://www.goldenenergymines.com/id/hubungan-investor/sorotan-investor/informasi-dividen/</x:v>
      </x:c>
      <x:c r="F6" t="str">
        <x:v>historical USD million totals 2024/2025</x:v>
      </x:c>
    </x:row>
    <x:row r="7" ht="25" customHeight="1">
      <x:c r="A7" t="str">
        <x:v>SRC06</x:v>
      </x:c>
      <x:c r="B7" t="str">
        <x:v>GEAR milestones 2023 restructure</x:v>
      </x:c>
      <x:c r="C7" t="str">
        <x:v>Issuer GEAR</x:v>
      </x:c>
      <x:c r="D7" t="str">
        <x:v>2026</x:v>
      </x:c>
      <x:c r="E7" t="str">
        <x:v>https://gear.com.sg/milestones/</x:v>
      </x:c>
      <x:c r="F7" t="str">
        <x:v>delisted SGX 2023, in specie share distribution</x:v>
      </x:c>
    </x:row>
    <x:row r="8" ht="25" customHeight="1">
      <x:c r="A8" t="str">
        <x:v>SRC07</x:v>
      </x:c>
      <x:c r="B8" t="str">
        <x:v>Bumitama AR2025 financial highlights</x:v>
      </x:c>
      <x:c r="C8" t="str">
        <x:v>Issuer Bumitama</x:v>
      </x:c>
      <x:c r="D8" t="str">
        <x:v>2026-04</x:v>
      </x:c>
      <x:c r="E8" t="str">
        <x:v>https://bumitama-agri.com/wp-content/uploads/2026/04/BAL-Annual-Report-2025.pdf</x:v>
      </x:c>
      <x:c r="F8" t="str">
        <x:v>2021-25 IDR revenues and profits</x:v>
      </x:c>
    </x:row>
    <x:row r="9" ht="25" customHeight="1">
      <x:c r="A9" t="str">
        <x:v>SRC08</x:v>
      </x:c>
      <x:c r="B9" t="str">
        <x:v>Bumitama FY2025 investor circular</x:v>
      </x:c>
      <x:c r="C9" t="str">
        <x:v>Issuer Bumitama</x:v>
      </x:c>
      <x:c r="D9" t="str">
        <x:v>2026-02-27</x:v>
      </x:c>
      <x:c r="E9" t="str">
        <x:v>https://bumitama-agri.com/wp-content/uploads/2026/02/BAL-FY2025-Investor_Circular.pdf</x:v>
      </x:c>
      <x:c r="F9" t="str">
        <x:v>184k planted ha, FY25 dividend 9.35 SGD cents</x:v>
      </x:c>
    </x:row>
    <x:row r="10" ht="25" customHeight="1">
      <x:c r="A10" t="str">
        <x:v>SRC09</x:v>
      </x:c>
      <x:c r="B10" t="str">
        <x:v>Bumitama investor website</x:v>
      </x:c>
      <x:c r="C10" t="str">
        <x:v>Issuer Bumitama</x:v>
      </x:c>
      <x:c r="D10" t="str">
        <x:v>2026-10</x:v>
      </x:c>
      <x:c r="E10" t="str">
        <x:v>https://bumitama-agri.com/investors/</x:v>
      </x:c>
      <x:c r="F10" t="str">
        <x:v>planted ha Kalimantan and dividends</x:v>
      </x:c>
    </x:row>
    <x:row r="11" ht="25" customHeight="1">
      <x:c r="A11" t="str">
        <x:v>SRC10</x:v>
      </x:c>
      <x:c r="B11" t="str">
        <x:v>GAR FY2025 financial statement</x:v>
      </x:c>
      <x:c r="C11" t="str">
        <x:v>Issuer GAR</x:v>
      </x:c>
      <x:c r="D11" t="str">
        <x:v>2026-02-26</x:v>
      </x:c>
      <x:c r="E11" t="str">
        <x:v>https://www.goldenagri.com.sg/wp-content/uploads/2026/02/GAR-FY2025.pdf</x:v>
      </x:c>
      <x:c r="F11" t="str">
        <x:v>2025 revenue/profit, 2025 paid dividends</x:v>
      </x:c>
    </x:row>
    <x:row r="12" ht="25" customHeight="1">
      <x:c r="A12" t="str">
        <x:v>SRC11</x:v>
      </x:c>
      <x:c r="B12" t="str">
        <x:v>GAR 2025 press release</x:v>
      </x:c>
      <x:c r="C12" t="str">
        <x:v>Issuer GAR</x:v>
      </x:c>
      <x:c r="D12" t="str">
        <x:v>2026-02-26</x:v>
      </x:c>
      <x:c r="E12" t="str">
        <x:v>https://www.golden-agri.com/news-stories/press-releases/golden-agri-resources-sustains-strong-performance-for-full-year-2025/</x:v>
      </x:c>
      <x:c r="F12" t="str">
        <x:v>531k planted Indonesian ha and ~9.2m FFB</x:v>
      </x:c>
    </x:row>
    <x:row r="13" ht="25" customHeight="1">
      <x:c r="A13" t="str">
        <x:v>SRC12</x:v>
      </x:c>
      <x:c r="B13" t="str">
        <x:v>GAR beneficial shareholdings</x:v>
      </x:c>
      <x:c r="C13" t="str">
        <x:v>Issuer GAR</x:v>
      </x:c>
      <x:c r="D13" t="str">
        <x:v>2026-03-10</x:v>
      </x:c>
      <x:c r="E13" t="str">
        <x:v>https://www.golden-agri.com/investors/shareholder-information/</x:v>
      </x:c>
      <x:c r="F13" t="str">
        <x:v>Widjaja Family Master Trust 50.56%, no inference of residency</x:v>
      </x:c>
    </x:row>
    <x:row r="14" ht="25" customHeight="1">
      <x:c r="A14" t="str">
        <x:v>SRC13</x:v>
      </x:c>
      <x:c r="B14" t="str">
        <x:v>Wilmar 2025 highlights</x:v>
      </x:c>
      <x:c r="C14" t="str">
        <x:v>Issuer Wilmar</x:v>
      </x:c>
      <x:c r="D14" t="str">
        <x:v>2026</x:v>
      </x:c>
      <x:c r="E14" t="str">
        <x:v>https://ir-media.wilmar-international.com/financial-highlights</x:v>
      </x:c>
      <x:c r="F14" t="str">
        <x:v>2021-2025 available through company factsheet; FY2025 official financials</x:v>
      </x:c>
    </x:row>
    <x:row r="15" ht="25" customHeight="1">
      <x:c r="A15" t="str">
        <x:v>SRC14</x:v>
      </x:c>
      <x:c r="B15" t="str">
        <x:v>Wilmar plantations</x:v>
      </x:c>
      <x:c r="C15" t="str">
        <x:v>Issuer Wilmar</x:v>
      </x:c>
      <x:c r="D15" t="str">
        <x:v>2026</x:v>
      </x:c>
      <x:c r="E15" t="str">
        <x:v>https://www.wilmar-international.com/our-businesses/plantation</x:v>
      </x:c>
      <x:c r="F15" t="str">
        <x:v>234334 ha, ~66% Indonesia</x:v>
      </x:c>
    </x:row>
    <x:row r="16" ht="25" customHeight="1">
      <x:c r="A16" t="str">
        <x:v>SRC15</x:v>
      </x:c>
      <x:c r="B16" t="str">
        <x:v>Wilmar company factsheet Sep2026</x:v>
      </x:c>
      <x:c r="C16" t="str">
        <x:v>Issuer Wilmar</x:v>
      </x:c>
      <x:c r="D16" t="str">
        <x:v>2026-09</x:v>
      </x:c>
      <x:c r="E16" t="str">
        <x:v>https://www.wilmar-international.com/company-factsheet/</x:v>
      </x:c>
      <x:c r="F16" t="str">
        <x:v>2021-25 revenues and net profits, major shareholders</x:v>
      </x:c>
    </x:row>
    <x:row r="17" ht="25" customHeight="1">
      <x:c r="A17" t="str">
        <x:v>SRC16</x:v>
      </x:c>
      <x:c r="B17" t="str">
        <x:v>First Resources 2025 annual report</x:v>
      </x:c>
      <x:c r="C17" t="str">
        <x:v>Issuer First Resources</x:v>
      </x:c>
      <x:c r="D17" t="str">
        <x:v>2026-04</x:v>
      </x:c>
      <x:c r="E17" t="str">
        <x:v>https://www.first-resources.com/wp-content/uploads/2026/04/First-Resources-Limited-Annual-Report-2025.pdf</x:v>
      </x:c>
      <x:c r="F17" t="str">
        <x:v>2025 USD revenues, CPO and ANJ</x:v>
      </x:c>
    </x:row>
    <x:row r="18" ht="25" customHeight="1">
      <x:c r="A18" t="str">
        <x:v>SRC17</x:v>
      </x:c>
      <x:c r="B18" t="str">
        <x:v>First Resources plantations</x:v>
      </x:c>
      <x:c r="C18" t="str">
        <x:v>Issuer First Resources</x:v>
      </x:c>
      <x:c r="D18" t="str">
        <x:v>2026</x:v>
      </x:c>
      <x:c r="E18" t="str">
        <x:v>https://www.first-resources.com/our-business/plantation-and-palm-oil-mills/</x:v>
      </x:c>
      <x:c r="F18" t="str">
        <x:v>&gt;270k hectares Indonesia</x:v>
      </x:c>
    </x:row>
    <x:row r="19" ht="25" customHeight="1">
      <x:c r="A19" t="str">
        <x:v>SRC18</x:v>
      </x:c>
      <x:c r="B19" t="str">
        <x:v>First Resources stock ownership</x:v>
      </x:c>
      <x:c r="C19" t="str">
        <x:v>Issuer First Resources</x:v>
      </x:c>
      <x:c r="D19" t="str">
        <x:v>2026-03-13</x:v>
      </x:c>
      <x:c r="E19" t="str">
        <x:v>https://www.first-resources.com/investor-relations/shareholder-info/stock-information/</x:v>
      </x:c>
      <x:c r="F19" t="str">
        <x:v>Eight Capital 67.5%, important family trust caveat</x:v>
      </x:c>
    </x:row>
    <x:row r="20" ht="25" customHeight="1">
      <x:c r="A20" t="str">
        <x:v>SRC19</x:v>
      </x:c>
      <x:c r="B20" t="str">
        <x:v>First Resources 2025 final dividend</x:v>
      </x:c>
      <x:c r="C20" t="str">
        <x:v>SGX</x:v>
      </x:c>
      <x:c r="D20" t="str">
        <x:v>2026-02-27</x:v>
      </x:c>
      <x:c r="E20" t="str">
        <x:v>https://links.sgx.com/1.0.0/corporate-announcements/OCN4BXS9QQT7KX0H/</x:v>
      </x:c>
      <x:c r="F20" t="str">
        <x:v>FY25 final 10.2 Singapore cents, pay 2026</x:v>
      </x:c>
    </x:row>
    <x:row r="21" ht="25" customHeight="1">
      <x:c r="A21" t="str">
        <x:v>SRC20</x:v>
      </x:c>
      <x:c r="B21" t="str">
        <x:v>First Resources 2025 interim dividend</x:v>
      </x:c>
      <x:c r="C21" t="str">
        <x:v>SGX</x:v>
      </x:c>
      <x:c r="D21" t="str">
        <x:v>2025-08-14</x:v>
      </x:c>
      <x:c r="E21" t="str">
        <x:v>https://links.sgx.com/1.0.0/corporate-announcements/EP5SB7GAY3J9D7S0/</x:v>
      </x:c>
      <x:c r="F21" t="str">
        <x:v>FY25 interim 4.5 cents paid Sep25</x:v>
      </x:c>
    </x:row>
    <x:row r="22" ht="25" customHeight="1">
      <x:c r="A22" t="str">
        <x:v>SRC21</x:v>
      </x:c>
      <x:c r="B22" t="str">
        <x:v>Astra 2025 investor shares</x:v>
      </x:c>
      <x:c r="C22" t="str">
        <x:v>Issuer Astra</x:v>
      </x:c>
      <x:c r="D22" t="str">
        <x:v>2025-12-31</x:v>
      </x:c>
      <x:c r="E22" t="str">
        <x:v>https://www.astra.co.id/en/investor-relations/shareholding</x:v>
      </x:c>
      <x:c r="F22" t="str">
        <x:v>JCC shareholding 50.11%</x:v>
      </x:c>
    </x:row>
    <x:row r="23" ht="25" customHeight="1">
      <x:c r="A23" t="str">
        <x:v>SRC22</x:v>
      </x:c>
      <x:c r="B23" t="str">
        <x:v>Astra 2025 AGM dividend</x:v>
      </x:c>
      <x:c r="C23" t="str">
        <x:v>Issuer Astra</x:v>
      </x:c>
      <x:c r="D23" t="str">
        <x:v>2025-05-08</x:v>
      </x:c>
      <x:c r="E23" t="str">
        <x:v>https://www.astra.co.id/en/press-release/astras-2025-annual-general-meeting-of-shareholders-distributed-cash-dividend-rp164-trillion</x:v>
      </x:c>
      <x:c r="F23" t="str">
        <x:v>Rp308 final FY2024 paid 5Jun25, 22 May record</x:v>
      </x:c>
    </x:row>
    <x:row r="24" ht="25" customHeight="1">
      <x:c r="A24" t="str">
        <x:v>SRC23</x:v>
      </x:c>
      <x:c r="B24" t="str">
        <x:v>Astra 2026 AGM dividend</x:v>
      </x:c>
      <x:c r="C24" t="str">
        <x:v>Issuer Astra</x:v>
      </x:c>
      <x:c r="D24" t="str">
        <x:v>2026-04-23</x:v>
      </x:c>
      <x:c r="E24" t="str">
        <x:v>https://www.astra.co.id/en/press-release/rapat-umum-pemegang-saham-tahunan-astra-2026-bagikan-dividen-tunai-rp156-triliun</x:v>
      </x:c>
      <x:c r="F24" t="str">
        <x:v>Rp98 interim FY2025 paid 31Oct25 and Rp292 final paid May26</x:v>
      </x:c>
    </x:row>
    <x:row r="25" ht="25" customHeight="1">
      <x:c r="A25" t="str">
        <x:v>SRC24</x:v>
      </x:c>
      <x:c r="B25" t="str">
        <x:v>JCC FY2025 earnings release</x:v>
      </x:c>
      <x:c r="C25" t="str">
        <x:v>Issuer JCC</x:v>
      </x:c>
      <x:c r="D25" t="str">
        <x:v>2026-02-27</x:v>
      </x:c>
      <x:c r="E25" t="str">
        <x:v>https://links.sgx.com/1.0.0/corporate-announcements/TQWZAVIBD2MXUMOG/876540_JCC_Dec%202025%20Final.pdf</x:v>
      </x:c>
      <x:c r="F25" t="str">
        <x:v>profit contribution from Indonesia, not dividend cash</x:v>
      </x:c>
    </x:row>
    <x:row r="26" ht="25" customHeight="1">
      <x:c r="A26" t="str">
        <x:v>SRC25</x:v>
      </x:c>
      <x:c r="B26" t="str">
        <x:v>Singapore NEA THPA announcement</x:v>
      </x:c>
      <x:c r="C26" t="str">
        <x:v>Singapore regulator NEA</x:v>
      </x:c>
      <x:c r="D26" t="str">
        <x:v>2026-10-23</x:v>
      </x:c>
      <x:c r="E26" t="str">
        <x:v>https://www.nea.gov.sg/media/news/news/index/nea-serves-notices-to-10-singapore-based-companies</x:v>
      </x:c>
      <x:c r="F26" t="str">
        <x:v>ten SG Section10 information requests and 10 Indonesia Section9 notices</x:v>
      </x:c>
    </x:row>
    <x:row r="27" ht="25" customHeight="1">
      <x:c r="A27" t="str">
        <x:v>SRC26</x:v>
      </x:c>
      <x:c r="B27" t="str">
        <x:v>First Resources Oct 2026 response</x:v>
      </x:c>
      <x:c r="C27" t="str">
        <x:v>Issuer First Resources</x:v>
      </x:c>
      <x:c r="D27" t="str">
        <x:v>2026-10-16</x:v>
      </x:c>
      <x:c r="E27" t="str">
        <x:v>https://links.sgx.com/1.0.0/corporate-announcements/JRALTK14N19F449O/3f5adee5ad8a030c08511e7b82b6cd6447cdfa5b5c0363609c145e2f9a472300</x:v>
      </x:c>
      <x:c r="F27" t="str">
        <x:v>response denies automatic causation from hotspots</x:v>
      </x:c>
    </x:row>
    <x:row r="28" ht="25" customHeight="1">
      <x:c r="A28" t="str">
        <x:v>SRC27</x:v>
      </x:c>
      <x:c r="B28" t="str">
        <x:v>First Resources ANJ ownership Mar2026</x:v>
      </x:c>
      <x:c r="C28" t="str">
        <x:v>Issuer ANJ</x:v>
      </x:c>
      <x:c r="D28" t="str">
        <x:v>2026-06</x:v>
      </x:c>
      <x:c r="E28" t="str">
        <x:v>https://www.first-resources.com/wp-content/uploads/2026/06/ANJ-AR-SR-2025.pdf</x:v>
      </x:c>
      <x:c r="F28" t="str">
        <x:v>95.92% ANJ FR; trust beneficial recipients proportions uncertain</x:v>
      </x:c>
    </x:row>
    <x:row r="29" ht="25" customHeight="1">
      <x:c r="A29" t="str">
        <x:v>SRC28</x:v>
      </x:c>
      <x:c r="B29" t="str">
        <x:v>Singapore government haze legal inquiry</x:v>
      </x:c>
      <x:c r="C29" t="str">
        <x:v>Singapore Ministry of Law</x:v>
      </x:c>
      <x:c r="D29" t="str">
        <x:v>2026-10-23</x:v>
      </x:c>
      <x:c r="E29" t="str">
        <x:v>https://www.mlaw.gov.sg/government-steps-up-scrutiny-of-companies-with-potential-links-to-transboundary-haze/</x:v>
      </x:c>
      <x:c r="F29" t="str">
        <x:v>cross-border specialist panel statement</x:v>
      </x:c>
    </x:row>
    <x:row r="30" ht="25" customHeight="1">
      <x:c r="A30" t="str">
        <x:v>SRC29</x:v>
      </x:c>
      <x:c r="B30" t="str">
        <x:v>GEMS 2025 interim dividend official</x:v>
      </x:c>
      <x:c r="C30" t="str">
        <x:v>Issuer GEMS</x:v>
      </x:c>
      <x:c r="D30" t="str">
        <x:v>2025-05-28</x:v>
      </x:c>
      <x:c r="E30" t="str">
        <x:v>https://www.goldenenergymines.com/download/776/</x:v>
      </x:c>
      <x:c r="F30" t="str">
        <x:v>2025 interim 100m USD</x:v>
      </x:c>
    </x:row>
    <x:row r="31" ht="25" customHeight="1">
      <x:c r="A31" t="str">
        <x:v>SRC30</x:v>
      </x:c>
      <x:c r="B31" t="str">
        <x:v>Geo 2025 annual dividends detail</x:v>
      </x:c>
      <x:c r="C31" t="str">
        <x:v>Issuer Geo Energy</x:v>
      </x:c>
      <x:c r="D31" t="str">
        <x:v>2026-04-13</x:v>
      </x:c>
      <x:c r="E31" t="str">
        <x:v>https://links.sgx.com/FileOpen/Annual%20Report%202025.ashx?App=Announcement&amp;FileID=883319</x:v>
      </x:c>
      <x:c r="F31" t="str">
        <x:v>2025 cash dividends 11.360497m USD</x:v>
      </x:c>
    </x:row>
    <x:row r="32" ht="25" customHeight="1">
      <x:c r="A32" t="str">
        <x:v>SRC31</x:v>
      </x:c>
      <x:c r="B32" t="str">
        <x:v>First Resources governance 2025</x:v>
      </x:c>
      <x:c r="C32" t="str">
        <x:v>Issuer First Resources</x:v>
      </x:c>
      <x:c r="D32" t="str">
        <x:v>2026-04</x:v>
      </x:c>
      <x:c r="E32" t="str">
        <x:v>https://www.first-resources.com/wp-content/uploads/2026/04/AR2025-Corporate-Governance.pdf</x:v>
      </x:c>
      <x:c r="F32" t="str">
        <x:v>related party transactions under SGX rules</x:v>
      </x:c>
    </x:row>
    <x:row r="33" ht="25" customHeight="1">
      <x:c r="A33" t="str">
        <x:v>SRC32</x:v>
      </x:c>
      <x:c r="B33" t="str">
        <x:v>GEMS 2025 annual report portal</x:v>
      </x:c>
      <x:c r="C33" t="str">
        <x:v>Issuer GEMS</x:v>
      </x:c>
      <x:c r="D33" t="str">
        <x:v>2026</x:v>
      </x:c>
      <x:c r="E33" t="str">
        <x:v>https://www.goldenenergymines.com/investor-relation/annual-report/</x:v>
      </x:c>
      <x:c r="F33" t="str">
        <x:v>2025 formal annual report</x:v>
      </x:c>
    </x:row>
  </x:sheetData>
  <x:pageMargins left="0.7" right="0.7" top="0.75" bottom="0.75" header="0.3" footer="0.3"/>
</x:worksheet>
</file>